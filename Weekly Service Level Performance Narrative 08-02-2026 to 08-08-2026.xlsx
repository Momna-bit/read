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 Me" sheetId="1" state="visible" r:id="rId3"/>
    <sheet name="Criteria Matrix" sheetId="2" state="visible" r:id="rId4"/>
    <sheet name="Data Input" sheetId="3" state="visible" r:id="rId5"/>
    <sheet name="Missed AWT Intervals" sheetId="4" state="visible" r:id="rId6"/>
    <sheet name="Weekly Narrative" sheetId="5" state="visible" r:id="rId7"/>
    <sheet name="Action Tracker" sheetId="6" state="visible" r:id="rId8"/>
    <sheet name="Formulas &amp; Definitions" sheetId="7" state="hidden" r:id="rId9"/>
    <sheet name="Narrative Template" sheetId="8" state="hidden" r:id="rId10"/>
    <sheet name="Sources" sheetId="9" state="hidden"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<sst xmlns="http://schemas.openxmlformats.org/spreadsheetml/2006/main" count="473" uniqueCount="282">
  <si>
    <t xml:space="preserve">Weekly Service Level Performance Narrative Template</t>
  </si>
  <si>
    <t xml:space="preserve">Built for Lou to share with Bindu and Jay. Includes criteria, formulas, example, action tracker, and narrative template.</t>
  </si>
  <si>
    <t xml:space="preserve">How to use</t>
  </si>
  <si>
    <t xml:space="preserve">Instructions</t>
  </si>
  <si>
    <t xml:space="preserve">1</t>
  </si>
  <si>
    <t xml:space="preserve">Update the Data Input sheet with the prior week interval/day data. Blue cells are intended for manual input.</t>
  </si>
  <si>
    <t xml:space="preserve">2</t>
  </si>
  <si>
    <t xml:space="preserve">Review the Example Weekly Narrative sheet. It shows one clear worked example using sample data.</t>
  </si>
  <si>
    <t xml:space="preserve">3</t>
  </si>
  <si>
    <t xml:space="preserve">Use the Criteria Matrix to align on what should be reported weekly and who owns each item.</t>
  </si>
  <si>
    <t xml:space="preserve">4</t>
  </si>
  <si>
    <t xml:space="preserve">Use the Action Tracker to document follow-up items and keep owners/due dates explicit.</t>
  </si>
  <si>
    <t xml:space="preserve">5</t>
  </si>
  <si>
    <t xml:space="preserve">Use the Narrative Template sheet to copy into the weekly note to Rimi.</t>
  </si>
  <si>
    <t xml:space="preserve">Weekly Service Level Performance Criteria Matrix</t>
  </si>
  <si>
    <t xml:space="preserve">Criteria aligned to Rimi ask plus recommended best-practice additions using first principles and Pareto.</t>
  </si>
  <si>
    <t xml:space="preserve">Category</t>
  </si>
  <si>
    <t xml:space="preserve">Report Item</t>
  </si>
  <si>
    <t xml:space="preserve">Definition / Question Answered</t>
  </si>
  <si>
    <t xml:space="preserve">Calculation / Formula</t>
  </si>
  <si>
    <t xml:space="preserve">Threshold / Flag</t>
  </si>
  <si>
    <t xml:space="preserve">Owner</t>
  </si>
  <si>
    <t xml:space="preserve">Cadence</t>
  </si>
  <si>
    <t xml:space="preserve">Why It Matters</t>
  </si>
  <si>
    <t xml:space="preserve">Core SLA</t>
  </si>
  <si>
    <t xml:space="preserve">Total intervals missed 2-min AWT target</t>
  </si>
  <si>
    <t xml:space="preserve">How many intervals exceeded the 2-minute average wait time target?</t>
  </si>
  <si>
    <t xml:space="preserve">COUNTIF(interval AWT, "&gt;2:00")</t>
  </si>
  <si>
    <t xml:space="preserve">Any miss = review; severe miss &gt;5:00</t>
  </si>
  <si>
    <t xml:space="preserve">WFM</t>
  </si>
  <si>
    <t xml:space="preserve">Weekly</t>
  </si>
  <si>
    <t xml:space="preserve">Direct answer to Rimi ask and top indicator of customer wait experience.</t>
  </si>
  <si>
    <t xml:space="preserve">Days with missed intervals</t>
  </si>
  <si>
    <t xml:space="preserve">How many days had one or more missed intervals?</t>
  </si>
  <si>
    <t xml:space="preserve">COUNTUNIQUE(day where missed intervals &gt;0)</t>
  </si>
  <si>
    <t xml:space="preserve">More days = broader systemic issue</t>
  </si>
  <si>
    <t xml:space="preserve">Separates isolated bad interval from multi-day pattern.</t>
  </si>
  <si>
    <t xml:space="preserve">Miss severity bands</t>
  </si>
  <si>
    <t xml:space="preserve">Were misses minor, moderate, or severe?</t>
  </si>
  <si>
    <t xml:space="preserve">Minor 2:01-3:00; Moderate 3:01-5:00; Severe &gt;5:00</t>
  </si>
  <si>
    <t xml:space="preserve">Severe &gt;0 = leadership visibility</t>
  </si>
  <si>
    <t xml:space="preserve">Not all misses carry the same customer impact.</t>
  </si>
  <si>
    <t xml:space="preserve">Miss concentration by day/time block</t>
  </si>
  <si>
    <t xml:space="preserve">Where were misses clustered?</t>
  </si>
  <si>
    <t xml:space="preserve">Pivot missed intervals by day and time block</t>
  </si>
  <si>
    <t xml:space="preserve">Top day/time block should get priority</t>
  </si>
  <si>
    <t xml:space="preserve">Supports Pareto analysis by focusing action on highest concentration.</t>
  </si>
  <si>
    <t xml:space="preserve">Customer Experience</t>
  </si>
  <si>
    <t xml:space="preserve">Abandonment exception &gt;7%</t>
  </si>
  <si>
    <t xml:space="preserve">Which days exceeded the 7% abandon threshold?</t>
  </si>
  <si>
    <t xml:space="preserve">Abandoned calls / Offered calls</t>
  </si>
  <si>
    <t xml:space="preserve">&gt;7.0% = exception</t>
  </si>
  <si>
    <t xml:space="preserve">Rimi specifically requested visibility on any day above 7%.</t>
  </si>
  <si>
    <t xml:space="preserve">Short vs true abandons</t>
  </si>
  <si>
    <t xml:space="preserve">Are abandonments customer experience-related or immediate hangups?</t>
  </si>
  <si>
    <t xml:space="preserve">Gross abandon vs abandon after threshold if available</t>
  </si>
  <si>
    <t xml:space="preserve">Use available system definition</t>
  </si>
  <si>
    <t xml:space="preserve">Improves data quality and avoids overreacting to immediate hangups.</t>
  </si>
  <si>
    <t xml:space="preserve">Demand</t>
  </si>
  <si>
    <t xml:space="preserve">Forecast accuracy</t>
  </si>
  <si>
    <t xml:space="preserve">Was demand higher/lower than forecast?</t>
  </si>
  <si>
    <t xml:space="preserve">(Actual calls - Forecast calls) / Forecast calls</t>
  </si>
  <si>
    <t xml:space="preserve">&gt;+/-10% = review</t>
  </si>
  <si>
    <t xml:space="preserve">Determines if miss began with demand planning.</t>
  </si>
  <si>
    <t xml:space="preserve">Supply</t>
  </si>
  <si>
    <t xml:space="preserve">Required vs scheduled vs productive staff</t>
  </si>
  <si>
    <t xml:space="preserve">Did scheduled coverage become productive coverage?</t>
  </si>
  <si>
    <t xml:space="preserve">Required staff vs scheduled staff vs actual productive staff</t>
  </si>
  <si>
    <t xml:space="preserve">Productive gap drives SLA risk</t>
  </si>
  <si>
    <t xml:space="preserve">Shows if capacity was planned, scheduled, and actually available.</t>
  </si>
  <si>
    <t xml:space="preserve">Availability</t>
  </si>
  <si>
    <t xml:space="preserve">Shrinkage / lost hours</t>
  </si>
  <si>
    <t xml:space="preserve">Did absence, tardy, coaching, meetings, or aux reduce capacity?</t>
  </si>
  <si>
    <t xml:space="preserve">Lost hours / scheduled hours</t>
  </si>
  <si>
    <t xml:space="preserve">Above plan = root cause review</t>
  </si>
  <si>
    <t xml:space="preserve">WFM + Site Ops</t>
  </si>
  <si>
    <t xml:space="preserve">Explains why a staffed site still misses SLA.</t>
  </si>
  <si>
    <t xml:space="preserve">Adherence / conformance diagnostic</t>
  </si>
  <si>
    <t xml:space="preserve">Did agents follow schedule?</t>
  </si>
  <si>
    <t xml:space="preserve">Actual in-adherence time / scheduled time</t>
  </si>
  <si>
    <t xml:space="preserve">Diagnostic only; avoid punitive gate</t>
  </si>
  <si>
    <t xml:space="preserve">Helps explain interval misses without incentivizing gaming.</t>
  </si>
  <si>
    <t xml:space="preserve">Productivity</t>
  </si>
  <si>
    <t xml:space="preserve">AHT variance</t>
  </si>
  <si>
    <t xml:space="preserve">Did handle time exceed plan and build queues?</t>
  </si>
  <si>
    <t xml:space="preserve">Actual AHT - target AHT</t>
  </si>
  <si>
    <t xml:space="preserve">Above plan during miss intervals = review</t>
  </si>
  <si>
    <t xml:space="preserve">Care Ops + QA</t>
  </si>
  <si>
    <t xml:space="preserve">Links operational process/knowledge gaps to SLA misses.</t>
  </si>
  <si>
    <t xml:space="preserve">Capacity Stress</t>
  </si>
  <si>
    <t xml:space="preserve">Occupancy</t>
  </si>
  <si>
    <t xml:space="preserve">Was capacity over-stressed?</t>
  </si>
  <si>
    <t xml:space="preserve">Talk/handle time / available time</t>
  </si>
  <si>
    <t xml:space="preserve">&gt;90% = capacity stress</t>
  </si>
  <si>
    <t xml:space="preserve">High occupancy can create no-buffer environment and drive service misses.</t>
  </si>
  <si>
    <t xml:space="preserve">Control</t>
  </si>
  <si>
    <t xml:space="preserve">Real-time actions taken</t>
  </si>
  <si>
    <t xml:space="preserve">What did WFM/Ops do during the week to recover?</t>
  </si>
  <si>
    <t xml:space="preserve">Free-text actions with outcome</t>
  </si>
  <si>
    <t xml:space="preserve">No action on major miss = escalation</t>
  </si>
  <si>
    <t xml:space="preserve">WFM + Ops</t>
  </si>
  <si>
    <t xml:space="preserve">Shows active operational control, not just reporting.</t>
  </si>
  <si>
    <t xml:space="preserve">Pareto</t>
  </si>
  <si>
    <t xml:space="preserve">Top 3 drivers of misses</t>
  </si>
  <si>
    <t xml:space="preserve">What caused most missed intervals?</t>
  </si>
  <si>
    <t xml:space="preserve">Misses by driver / total missed intervals</t>
  </si>
  <si>
    <t xml:space="preserve">Top 2-3 should explain majority</t>
  </si>
  <si>
    <t xml:space="preserve">Turns narrative into targeted action plan.</t>
  </si>
  <si>
    <t xml:space="preserve">Leadership Action</t>
  </si>
  <si>
    <t xml:space="preserve">Immediate action items</t>
  </si>
  <si>
    <t xml:space="preserve">What needs to happen next week?</t>
  </si>
  <si>
    <t xml:space="preserve">Owner + due date + expected impact</t>
  </si>
  <si>
    <t xml:space="preserve">Every repeat driver must have action</t>
  </si>
  <si>
    <t xml:space="preserve">Lou / WFM / Ops</t>
  </si>
  <si>
    <t xml:space="preserve">Creates accountability and closes the loop.</t>
  </si>
  <si>
    <t xml:space="preserve">Data Input - Weekly WFM Fields</t>
  </si>
  <si>
    <t xml:space="preserve">Blue input cells should be updated by WFM each week. Formulas support the weekly narrative.</t>
  </si>
  <si>
    <t xml:space="preserve">Week Start</t>
  </si>
  <si>
    <t xml:space="preserve">Week End</t>
  </si>
  <si>
    <t xml:space="preserve">Day</t>
  </si>
  <si>
    <t xml:space="preserve">Time Block</t>
  </si>
  <si>
    <t xml:space="preserve">Forecast Calls</t>
  </si>
  <si>
    <t xml:space="preserve">Offered Calls</t>
  </si>
  <si>
    <t xml:space="preserve">Handled Calls</t>
  </si>
  <si>
    <t xml:space="preserve">Abandoned Calls</t>
  </si>
  <si>
    <t xml:space="preserve">Abandon %</t>
  </si>
  <si>
    <t xml:space="preserve">Abn&gt;30s Calls</t>
  </si>
  <si>
    <t xml:space="preserve">Abn&gt;30s %</t>
  </si>
  <si>
    <t xml:space="preserve">AWT Minutes</t>
  </si>
  <si>
    <t xml:space="preserve">AHT Seconds</t>
  </si>
  <si>
    <t xml:space="preserve">Required Staff</t>
  </si>
  <si>
    <t xml:space="preserve">Scheduled Staff</t>
  </si>
  <si>
    <t xml:space="preserve">Productive Staff</t>
  </si>
  <si>
    <t xml:space="preserve">Primary Driver</t>
  </si>
  <si>
    <t xml:space="preserve">Action Taken</t>
  </si>
  <si>
    <t xml:space="preserve">Miss Rank (Helper - Do Not Edit)</t>
  </si>
  <si>
    <t xml:space="preserve">Monday</t>
  </si>
  <si>
    <t xml:space="preserve">Tuesday</t>
  </si>
  <si>
    <t xml:space="preserve">Wednesday</t>
  </si>
  <si>
    <t xml:space="preserve">Thursday</t>
  </si>
  <si>
    <t xml:space="preserve">Friday</t>
  </si>
  <si>
    <t xml:space="preserve">Saturday</t>
  </si>
  <si>
    <t xml:space="preserve">Missed AWT Interval Report</t>
  </si>
  <si>
    <t xml:space="preserve">Auto-updates from the Data Input tab. Every interval where AWT Minutes exceeded the 2:00 target is listed below - no manual copying needed.</t>
  </si>
  <si>
    <t xml:space="preserve">Total Missed Intervals This Week:</t>
  </si>
  <si>
    <t xml:space="preserve">Severe Misses (&gt;5:00):</t>
  </si>
  <si>
    <t xml:space="preserve">#</t>
  </si>
  <si>
    <t xml:space="preserve">Severity</t>
  </si>
  <si>
    <t xml:space="preserve">Weekly Narrative</t>
  </si>
  <si>
    <t xml:space="preserve">Sample data is illustrative only. Replace values using the Data Input sheet each week.</t>
  </si>
  <si>
    <t xml:space="preserve">Metric</t>
  </si>
  <si>
    <t xml:space="preserve">Result</t>
  </si>
  <si>
    <t xml:space="preserve">Interpretation</t>
  </si>
  <si>
    <t xml:space="preserve">Total interval/time blocks reviewed</t>
  </si>
  <si>
    <t xml:space="preserve">14 time blocks reviewed in week</t>
  </si>
  <si>
    <t xml:space="preserve">Missed 2-min AWT intervals</t>
  </si>
  <si>
    <t xml:space="preserve">Intervals where AWT minutes exceeded 2.0 target</t>
  </si>
  <si>
    <t xml:space="preserve">Days with at least one AWT miss</t>
  </si>
  <si>
    <t xml:space="preserve">Days abandon &gt;7%</t>
  </si>
  <si>
    <t xml:space="preserve">Days where abandon rate exceeded 7%</t>
  </si>
  <si>
    <t xml:space="preserve">Worst AWT minutes</t>
  </si>
  <si>
    <t xml:space="preserve">Highest average wait time in the sample</t>
  </si>
  <si>
    <t xml:space="preserve">Total offered calls</t>
  </si>
  <si>
    <t xml:space="preserve">Total demand for week</t>
  </si>
  <si>
    <t xml:space="preserve">Total abandoned calls</t>
  </si>
  <si>
    <t xml:space="preserve">Total callers who abandoned before handling</t>
  </si>
  <si>
    <t xml:space="preserve">Weekly abandon rate</t>
  </si>
  <si>
    <t xml:space="preserve">Weekly abandon percentage</t>
  </si>
  <si>
    <t xml:space="preserve">Forecast variance</t>
  </si>
  <si>
    <t xml:space="preserve">Positive = actual offered calls above forecast</t>
  </si>
  <si>
    <t xml:space="preserve">Narrative</t>
  </si>
  <si>
    <t xml:space="preserve">The 2-minute AWT target was missed in multiple intervals across the week of 08/03/2026 to 08/08/2026. Monday, Wednesday and Thursday saw the most intervals with misses and it was spread across the whole day. The largest drivers were unplanned shrinkage (especially tardies at the beginning of the day), forecast variance and high AHT.
Attrition: 3 from CP360 and 1 from HCL Guatemala
1 Houston agent on LOA</t>
  </si>
  <si>
    <t xml:space="preserve">Daily Exception Summary</t>
  </si>
  <si>
    <t xml:space="preserve">Missed AWT Blocks</t>
  </si>
  <si>
    <t xml:space="preserve">Calls Forecast</t>
  </si>
  <si>
    <t xml:space="preserve">Calls Offered</t>
  </si>
  <si>
    <t xml:space="preserve">Calls Answered</t>
  </si>
  <si>
    <t xml:space="preserve">Calls Abandoned &gt;30s </t>
  </si>
  <si>
    <t xml:space="preserve">Abandon &gt;30s %</t>
  </si>
  <si>
    <t xml:space="preserve">Calls Abandoned</t>
  </si>
  <si>
    <t xml:space="preserve">Forecast Variance %</t>
  </si>
  <si>
    <t xml:space="preserve">AHT</t>
  </si>
  <si>
    <t xml:space="preserve">ASA</t>
  </si>
  <si>
    <t xml:space="preserve">Flag</t>
  </si>
  <si>
    <t xml:space="preserve">Unplanned Shrinkage %</t>
  </si>
  <si>
    <t xml:space="preserve">Dominant Driver(s)</t>
  </si>
  <si>
    <t xml:space="preserve">Forecast variance + 15 LUPs + 5.4 hrs tech + high AHT (averaging over 460 across missed intervals)</t>
  </si>
  <si>
    <t xml:space="preserve">Interval level CV spike + high AHT (averaging over 470 across missed intervals) + 2000 DNPs</t>
  </si>
  <si>
    <t xml:space="preserve">CV spikes in some intervals + high AHT (averaging over 465 across missed intervals) + 9 LUPs</t>
  </si>
  <si>
    <t xml:space="preserve">Interval level CV spike + high AHT + 3 hrs tech</t>
  </si>
  <si>
    <t xml:space="preserve">TOTAL</t>
  </si>
  <si>
    <t xml:space="preserve">Weekly Action Tracker</t>
  </si>
  <si>
    <t xml:space="preserve">Use this to assign clear owners and due dates from the weekly Service Level narrative.</t>
  </si>
  <si>
    <t xml:space="preserve">Priority</t>
  </si>
  <si>
    <t xml:space="preserve">Action Item</t>
  </si>
  <si>
    <t xml:space="preserve">Trigger / Driver</t>
  </si>
  <si>
    <t xml:space="preserve">Due Date</t>
  </si>
  <si>
    <t xml:space="preserve">Expected Impact</t>
  </si>
  <si>
    <t xml:space="preserve">Status</t>
  </si>
  <si>
    <t xml:space="preserve">Notes</t>
  </si>
  <si>
    <t xml:space="preserve">High</t>
  </si>
  <si>
    <t xml:space="preserve">Strengthen Monday AM flex coverage</t>
  </si>
  <si>
    <t xml:space="preserve">Monday AM AWT and abandon exception</t>
  </si>
  <si>
    <t xml:space="preserve">Bindu / Jay</t>
  </si>
  <si>
    <t xml:space="preserve">2026-08-10</t>
  </si>
  <si>
    <t xml:space="preserve">Reduce Monday missed intervals and abandon risk</t>
  </si>
  <si>
    <t xml:space="preserve">Open</t>
  </si>
  <si>
    <t xml:space="preserve">Tardies and absences are being escalated to TLs with the expectation that they coach the agents to improve behaviour. New shift bid taking effect this week is expected to help cover some of the under-staffing for the mornings, closing and on Saturdays</t>
  </si>
  <si>
    <t xml:space="preserve">Review lunch coverage bands</t>
  </si>
  <si>
    <t xml:space="preserve">Lunch-related missed intervals</t>
  </si>
  <si>
    <t xml:space="preserve">Jay</t>
  </si>
  <si>
    <t xml:space="preserve">2026-08-07</t>
  </si>
  <si>
    <t xml:space="preserve">Reduce mid-day queue build-up</t>
  </si>
  <si>
    <t xml:space="preserve">Evaluate staggered lunch and coaching blocks.</t>
  </si>
  <si>
    <t xml:space="preserve">Medium</t>
  </si>
  <si>
    <t xml:space="preserve">Analyze AHT spike drivers</t>
  </si>
  <si>
    <t xml:space="preserve">Wednesday/Friday AHT above target</t>
  </si>
  <si>
    <t xml:space="preserve">Gwen / QA</t>
  </si>
  <si>
    <t xml:space="preserve">Reduce handle time-driven queue pressure</t>
  </si>
  <si>
    <t xml:space="preserve">Tie to QA call drivers and process knowledge gaps.</t>
  </si>
  <si>
    <t xml:space="preserve">Validate vendor real-time response coverage</t>
  </si>
  <si>
    <t xml:space="preserve">Delayed response or weekend/after-hours risk</t>
  </si>
  <si>
    <t xml:space="preserve">Lou / Vendor WFM</t>
  </si>
  <si>
    <t xml:space="preserve">Improve recovery during peak intervals</t>
  </si>
  <si>
    <t xml:space="preserve">Confirm RTA escalation path.</t>
  </si>
  <si>
    <t xml:space="preserve">Formulas and Definitions</t>
  </si>
  <si>
    <t xml:space="preserve">Use these formulas consistently so weekly narratives are comparable over time.</t>
  </si>
  <si>
    <t xml:space="preserve">Definition</t>
  </si>
  <si>
    <t xml:space="preserve">Spreadsheet Formula Example</t>
  </si>
  <si>
    <t xml:space="preserve">AWT Miss</t>
  </si>
  <si>
    <t xml:space="preserve">Interval/time block where Average Wait Time exceeds 2.0 minutes</t>
  </si>
  <si>
    <t xml:space="preserve">Use your system interval grain if more detailed than this sample.</t>
  </si>
  <si>
    <t xml:space="preserve">Miss Severity</t>
  </si>
  <si>
    <t xml:space="preserve">Minor, moderate, or severe miss based on AWT minutes</t>
  </si>
  <si>
    <t xml:space="preserve">Severity makes the leadership narrative sharper.</t>
  </si>
  <si>
    <t xml:space="preserve">Abandon Rate</t>
  </si>
  <si>
    <t xml:space="preserve">Abandoned calls divided by offered calls</t>
  </si>
  <si>
    <t xml:space="preserve">Flag any day above 7% per Rimi ask.</t>
  </si>
  <si>
    <t xml:space="preserve">Forecast Variance</t>
  </si>
  <si>
    <t xml:space="preserve">Offered calls compared to forecast calls</t>
  </si>
  <si>
    <t xml:space="preserve">Positive means demand was higher than forecast.</t>
  </si>
  <si>
    <t xml:space="preserve">Shrinkage Rate</t>
  </si>
  <si>
    <t xml:space="preserve">Lost/shrinkage hours divided by scheduled work hours</t>
  </si>
  <si>
    <t xml:space="preserve">Use WFM standard denominator.</t>
  </si>
  <si>
    <t xml:space="preserve">Productive Staffing Gap</t>
  </si>
  <si>
    <t xml:space="preserve">Required staff less actual productive staff</t>
  </si>
  <si>
    <t xml:space="preserve">Positive gap means fewer productive agents than needed.</t>
  </si>
  <si>
    <t xml:space="preserve">Pareto Driver %</t>
  </si>
  <si>
    <t xml:space="preserve">Driver missed intervals divided by total missed intervals</t>
  </si>
  <si>
    <t xml:space="preserve">Use to identify vital few causes.</t>
  </si>
  <si>
    <t xml:space="preserve">Copy/Paste Narrative Template</t>
  </si>
  <si>
    <t xml:space="preserve">Use this as the weekly message structure to Rimi after WFM updates the numbers.</t>
  </si>
  <si>
    <t xml:space="preserve">Section</t>
  </si>
  <si>
    <t xml:space="preserve">Template Text</t>
  </si>
  <si>
    <t xml:space="preserve">Executive Summary</t>
  </si>
  <si>
    <t xml:space="preserve">For the week of [Week Start] to [Week End], Care missed the 2-minute AWT target in [X] intervals across [Y] days. Misses were concentrated on [Day/Time Block]. The top drivers were [Driver 1], [Driver 2], and [Driver 3]. Abandonment exceeded 7% on [X] day(s): [Day(s)].</t>
  </si>
  <si>
    <t xml:space="preserve">Customer Impact</t>
  </si>
  <si>
    <t xml:space="preserve">The highest AWT was [X] minutes during [Day/Time Block]. The highest abandon rate was [X%] on [Day].</t>
  </si>
  <si>
    <t xml:space="preserve">Pareto Drivers</t>
  </si>
  <si>
    <t xml:space="preserve">The top drivers accounted for approximately [X%] of missed intervals. Primary driver: [Driver], impact: [Impact], corrective action: [Action].</t>
  </si>
  <si>
    <t xml:space="preserve">Immediate Actions</t>
  </si>
  <si>
    <t xml:space="preserve">1) [Owner] will [Action] by [Due Date]. 2) [Owner] will [Action] by [Due Date]. 3) [Owner] will [Action] by [Due Date].</t>
  </si>
  <si>
    <t xml:space="preserve">Leadership Ask / Escalation</t>
  </si>
  <si>
    <t xml:space="preserve">Decision/support needed: [State any staffing, vendor, system, training, or routing support needed]. If no escalation is needed, state: No leadership escalation requested this week.</t>
  </si>
  <si>
    <t xml:space="preserve">Sources</t>
  </si>
  <si>
    <t xml:space="preserve">Plain text URLs and internal references used to frame definitions and best-practice recommendations.</t>
  </si>
  <si>
    <t xml:space="preserve">Source Type</t>
  </si>
  <si>
    <t xml:space="preserve">Description</t>
  </si>
  <si>
    <t xml:space="preserve">Reference / URL</t>
  </si>
  <si>
    <t xml:space="preserve">Internal context</t>
  </si>
  <si>
    <t xml:space="preserve">Rimi request for Weekly Service Level Performance narrative</t>
  </si>
  <si>
    <t xml:space="preserve">Teams message / upcoming Care weekly Service Level Performance review</t>
  </si>
  <si>
    <t xml:space="preserve">Existing Just Energy Weekly WFM Review includes SLA Performance, Forecast Accuracy, Utilization, Occupancy, Adherence, Shrinkage, Lost Hours, interval-level ASA data</t>
  </si>
  <si>
    <t xml:space="preserve">Internal WFM Review decks and meeting notes</t>
  </si>
  <si>
    <t xml:space="preserve">External benchmark</t>
  </si>
  <si>
    <t xml:space="preserve">COPC article explaining relationship between service level and abandonment rate and common abandonment expectations</t>
  </si>
  <si>
    <t xml:space="preserve">https://www.copc.com/service-level-are-you-measuring-it-the-wrong-way/</t>
  </si>
  <si>
    <t xml:space="preserve">External definition</t>
  </si>
  <si>
    <t xml:space="preserve">Call Centre Helper explanation of call abandon rate and formula</t>
  </si>
  <si>
    <t xml:space="preserve">https://www.callcentrehelper.com/measure-call-abandon-rate-75869.htm</t>
  </si>
  <si>
    <t xml:space="preserve">Brightmetrics article summarizing abandonment rate benchmark ranges and improvement practices</t>
  </si>
  <si>
    <t xml:space="preserve">https://brightmetrics.com/blog/reducing-call-center-abandonment-rates-in-2025-what-actually-works/</t>
  </si>
</sst>
</file>

<file path=xl/styles.xml><?xml version="1.0" encoding="utf-8"?>
<styleSheet xmlns="http://schemas.openxmlformats.org/spreadsheetml/2006/main">
  <numFmts count="9">
    <numFmt numFmtId="164" formatCode="General"/>
    <numFmt numFmtId="165" formatCode="yyyy\-mm\-dd"/>
    <numFmt numFmtId="166" formatCode="0.0%"/>
    <numFmt numFmtId="167" formatCode="h:mm;@"/>
    <numFmt numFmtId="168" formatCode="0.0"/>
    <numFmt numFmtId="169" formatCode="0"/>
    <numFmt numFmtId="170" formatCode="General"/>
    <numFmt numFmtId="171" formatCode="h:mm"/>
    <numFmt numFmtId="172"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Calibri"/>
      <family val="2"/>
      <charset val="1"/>
    </font>
    <font>
      <i val="true"/>
      <sz val="11"/>
      <color rgb="FF666666"/>
      <name val="Calibri"/>
      <family val="2"/>
      <charset val="1"/>
    </font>
    <font>
      <b val="true"/>
      <sz val="11"/>
      <color rgb="FFFFFFFF"/>
      <name val="Calibri"/>
      <family val="2"/>
      <charset val="1"/>
    </font>
    <font>
      <sz val="11"/>
      <color rgb="FF0000FF"/>
      <name val="Calibri"/>
      <family val="2"/>
      <charset val="1"/>
    </font>
    <font>
      <b val="true"/>
      <sz val="11"/>
      <color rgb="FFFFFFFF"/>
      <name val="Calibri"/>
      <family val="0"/>
      <charset val="1"/>
    </font>
    <font>
      <sz val="10"/>
      <color rgb="FF999999"/>
      <name val="Calibri"/>
      <family val="0"/>
      <charset val="1"/>
    </font>
    <font>
      <b val="true"/>
      <sz val="16"/>
      <color rgb="FFFFFFFF"/>
      <name val="Calibri"/>
      <family val="0"/>
      <charset val="1"/>
    </font>
    <font>
      <i val="true"/>
      <sz val="11"/>
      <color rgb="FF666666"/>
      <name val="Calibri"/>
      <family val="0"/>
      <charset val="1"/>
    </font>
    <font>
      <b val="true"/>
      <sz val="12"/>
      <color rgb="FF1F4E78"/>
      <name val="Calibri"/>
      <family val="0"/>
      <charset val="1"/>
    </font>
    <font>
      <b val="true"/>
      <sz val="12"/>
      <color rgb="FFC00000"/>
      <name val="Calibri"/>
      <family val="0"/>
      <charset val="1"/>
    </font>
    <font>
      <sz val="11"/>
      <color rgb="FF000000"/>
      <name val="Calibri"/>
      <family val="0"/>
      <charset val="1"/>
    </font>
    <font>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4E78"/>
        <bgColor rgb="FF003366"/>
      </patternFill>
    </fill>
    <fill>
      <patternFill patternType="solid">
        <fgColor rgb="FFEAF4FB"/>
        <bgColor rgb="FFEBF5FF"/>
      </patternFill>
    </fill>
    <fill>
      <patternFill patternType="solid">
        <fgColor rgb="FFEBF5FF"/>
        <bgColor rgb="FFEAF4FB"/>
      </patternFill>
    </fill>
    <fill>
      <patternFill patternType="solid">
        <fgColor rgb="FFF8F9FA"/>
        <bgColor rgb="FFFFFFFF"/>
      </patternFill>
    </fill>
    <fill>
      <patternFill patternType="solid">
        <fgColor rgb="FFE2F0D9"/>
        <bgColor rgb="FFEAF4FB"/>
      </patternFill>
    </fill>
    <fill>
      <patternFill patternType="solid">
        <fgColor rgb="FFFCE4D6"/>
        <bgColor rgb="FFFADBD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4"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6" fontId="7" fillId="4" borderId="0" xfId="0" applyFont="true" applyBorder="false" applyAlignment="true" applyProtection="false">
      <alignment horizontal="general" vertical="top" textRotation="0" wrapText="true" indent="0" shrinkToFit="false"/>
      <protection locked="true" hidden="false"/>
    </xf>
    <xf numFmtId="165" fontId="6" fillId="2" borderId="0" xfId="0" applyFont="true" applyBorder="false" applyAlignment="true" applyProtection="false">
      <alignment horizontal="center" vertical="center" textRotation="0" wrapText="true" indent="0" shrinkToFit="false"/>
      <protection locked="true" hidden="false"/>
    </xf>
    <xf numFmtId="166" fontId="6" fillId="2"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5" fontId="7" fillId="4"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7" fontId="7" fillId="4" borderId="0" xfId="0" applyFont="true" applyBorder="false" applyAlignment="true" applyProtection="false">
      <alignment horizontal="general" vertical="top" textRotation="0" wrapText="false" indent="0" shrinkToFit="false"/>
      <protection locked="true" hidden="false"/>
    </xf>
    <xf numFmtId="166" fontId="7" fillId="4" borderId="0" xfId="0" applyFont="true" applyBorder="false" applyAlignment="true" applyProtection="false">
      <alignment horizontal="general" vertical="top" textRotation="0" wrapText="false" indent="0" shrinkToFit="false"/>
      <protection locked="true" hidden="false"/>
    </xf>
    <xf numFmtId="168" fontId="7" fillId="4" borderId="0" xfId="0" applyFont="true" applyBorder="false" applyAlignment="true" applyProtection="false">
      <alignment horizontal="general" vertical="top" textRotation="0" wrapText="false" indent="0" shrinkToFit="false"/>
      <protection locked="true" hidden="false"/>
    </xf>
    <xf numFmtId="169" fontId="7" fillId="4"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center" textRotation="0" wrapText="false" indent="0" shrinkToFit="false"/>
      <protection locked="true" hidden="false"/>
    </xf>
    <xf numFmtId="164" fontId="11" fillId="3"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70" fontId="0" fillId="0" borderId="1" xfId="0" applyFont="fals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71" fontId="14" fillId="0" borderId="1" xfId="0" applyFont="true" applyBorder="true" applyAlignment="true" applyProtection="false">
      <alignment horizontal="center" vertical="bottom" textRotation="0" wrapText="false" indent="0" shrinkToFit="false"/>
      <protection locked="true" hidden="false"/>
    </xf>
    <xf numFmtId="172" fontId="14" fillId="0"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true" applyProtection="false">
      <alignment horizontal="center" vertical="bottom" textRotation="0" wrapText="false" indent="0" shrinkToFit="false"/>
      <protection locked="true" hidden="false"/>
    </xf>
    <xf numFmtId="169" fontId="14" fillId="0" borderId="1"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false">
      <alignment horizontal="left" vertical="top"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6" fillId="2" borderId="0" xfId="0" applyFont="true" applyBorder="true" applyAlignment="true" applyProtection="false">
      <alignment horizontal="center" vertical="top" textRotation="0" wrapText="true" indent="0" shrinkToFit="false"/>
      <protection locked="true" hidden="false"/>
    </xf>
    <xf numFmtId="170" fontId="0" fillId="0" borderId="0" xfId="0" applyFont="false" applyBorder="false" applyAlignment="true" applyProtection="false">
      <alignment horizontal="center" vertical="top"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70" fontId="15" fillId="0" borderId="0" xfId="0" applyFont="true" applyBorder="false" applyAlignment="true" applyProtection="false">
      <alignment horizontal="center" vertical="top" textRotation="0" wrapText="true" indent="0" shrinkToFit="false"/>
      <protection locked="true" hidden="false"/>
    </xf>
    <xf numFmtId="169" fontId="0" fillId="0" borderId="0" xfId="0" applyFont="false" applyBorder="false" applyAlignment="true" applyProtection="false">
      <alignment horizontal="center" vertical="top" textRotation="0" wrapText="true" indent="0" shrinkToFit="false"/>
      <protection locked="true" hidden="false"/>
    </xf>
    <xf numFmtId="166" fontId="0" fillId="0" borderId="0" xfId="0" applyFont="false" applyBorder="false" applyAlignment="true" applyProtection="false">
      <alignment horizontal="center" vertical="top" textRotation="0" wrapText="true" indent="0" shrinkToFit="false"/>
      <protection locked="true" hidden="false"/>
    </xf>
    <xf numFmtId="164" fontId="6" fillId="2" borderId="0" xfId="0" applyFont="true" applyBorder="true" applyAlignment="true" applyProtection="false">
      <alignment horizontal="left" vertical="top" textRotation="0" wrapText="true" indent="0" shrinkToFit="false"/>
      <protection locked="true" hidden="false"/>
    </xf>
    <xf numFmtId="164" fontId="0" fillId="5"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center" vertical="top" textRotation="0" wrapText="false" indent="0" shrinkToFit="false"/>
      <protection locked="true" hidden="false"/>
    </xf>
    <xf numFmtId="166" fontId="0" fillId="0" borderId="0" xfId="0" applyFont="false" applyBorder="false" applyAlignment="true" applyProtection="false">
      <alignment horizontal="center" vertical="top" textRotation="0" wrapText="false" indent="0" shrinkToFit="false"/>
      <protection locked="true" hidden="false"/>
    </xf>
    <xf numFmtId="169" fontId="0" fillId="0" borderId="0" xfId="0" applyFont="false" applyBorder="false" applyAlignment="true" applyProtection="false">
      <alignment horizontal="center" vertical="top" textRotation="0" wrapText="false" indent="0" shrinkToFit="false"/>
      <protection locked="true" hidden="false"/>
    </xf>
    <xf numFmtId="172"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70" fontId="0" fillId="0" borderId="2" xfId="0" applyFont="false" applyBorder="true" applyAlignment="true" applyProtection="false">
      <alignment horizontal="center" vertical="top" textRotation="0" wrapText="true" indent="0" shrinkToFit="false"/>
      <protection locked="true" hidden="false"/>
    </xf>
    <xf numFmtId="166" fontId="0" fillId="0" borderId="2" xfId="0" applyFont="false" applyBorder="true" applyAlignment="true" applyProtection="false">
      <alignment horizontal="center" vertical="top" textRotation="0" wrapText="false" indent="0" shrinkToFit="false"/>
      <protection locked="true" hidden="false"/>
    </xf>
    <xf numFmtId="169" fontId="0" fillId="0" borderId="2" xfId="0" applyFont="false" applyBorder="true" applyAlignment="true" applyProtection="false">
      <alignment horizontal="center" vertical="top" textRotation="0" wrapText="false" indent="0" shrinkToFit="false"/>
      <protection locked="true" hidden="false"/>
    </xf>
    <xf numFmtId="172" fontId="0" fillId="0" borderId="2" xfId="0" applyFont="false" applyBorder="true" applyAlignment="true" applyProtection="false">
      <alignment horizontal="center" vertical="top" textRotation="0" wrapText="false" indent="0" shrinkToFit="false"/>
      <protection locked="true" hidden="false"/>
    </xf>
    <xf numFmtId="164" fontId="0" fillId="0" borderId="2" xfId="0" applyFont="false" applyBorder="true" applyAlignment="true" applyProtection="false">
      <alignment horizontal="center" vertical="top" textRotation="0" wrapText="fals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general" vertical="top" textRotation="0" wrapText="false" indent="0" shrinkToFit="false"/>
      <protection locked="true" hidden="false"/>
    </xf>
    <xf numFmtId="164" fontId="0" fillId="6"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7"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BF5FF"/>
          <bgColor rgb="FF000000"/>
        </patternFill>
      </fill>
    </dxf>
    <dxf>
      <fill>
        <patternFill patternType="solid">
          <fgColor rgb="FF0000FF"/>
          <bgColor rgb="FF000000"/>
        </patternFill>
      </fill>
    </dxf>
    <dxf>
      <fill>
        <patternFill>
          <bgColor rgb="FFFADBD8"/>
        </patternFill>
      </fill>
    </dxf>
    <dxf>
      <fill>
        <patternFill>
          <bgColor rgb="FFFCE4D6"/>
        </patternFill>
      </fill>
    </dxf>
    <dxf>
      <fill>
        <patternFill>
          <bgColor rgb="FFFFF2CC"/>
        </patternFill>
      </fill>
    </dxf>
    <dxf>
      <fill>
        <patternFill>
          <bgColor rgb="FFF4CCCC"/>
        </patternFill>
      </fill>
    </dxf>
    <dxf>
      <fill>
        <patternFill patternType="solid">
          <fgColor rgb="FFE2F0D9"/>
          <bgColor rgb="FF000000"/>
        </patternFill>
      </fill>
    </dxf>
    <dxf>
      <fill>
        <patternFill patternType="solid">
          <fgColor rgb="FFFCE4D6"/>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AA64F"/>
      <rgbColor rgb="FF800080"/>
      <rgbColor rgb="FF4F81BD"/>
      <rgbColor rgb="FFBFBFBF"/>
      <rgbColor rgb="FF878787"/>
      <rgbColor rgb="FF93A9CE"/>
      <rgbColor rgb="FFAB4744"/>
      <rgbColor rgb="FFFFF2CC"/>
      <rgbColor rgb="FFEAF4FB"/>
      <rgbColor rgb="FF660066"/>
      <rgbColor rgb="FFDC853E"/>
      <rgbColor rgb="FF0066CC"/>
      <rgbColor rgb="FFD9D9D9"/>
      <rgbColor rgb="FF000080"/>
      <rgbColor rgb="FFFF00FF"/>
      <rgbColor rgb="FFFFFF00"/>
      <rgbColor rgb="FF00FFFF"/>
      <rgbColor rgb="FF800080"/>
      <rgbColor rgb="FF800000"/>
      <rgbColor rgb="FF008080"/>
      <rgbColor rgb="FF0000FF"/>
      <rgbColor rgb="FF00CCFF"/>
      <rgbColor rgb="FFEBF5FF"/>
      <rgbColor rgb="FFE2F0D9"/>
      <rgbColor rgb="FFFCE4D6"/>
      <rgbColor rgb="FFF8F9FA"/>
      <rgbColor rgb="FFFADBD8"/>
      <rgbColor rgb="FFCC99FF"/>
      <rgbColor rgb="FFF4CCCC"/>
      <rgbColor rgb="FF4672A8"/>
      <rgbColor rgb="FF33CCCC"/>
      <rgbColor rgb="FF99CC00"/>
      <rgbColor rgb="FFFFCC00"/>
      <rgbColor rgb="FFFF9900"/>
      <rgbColor rgb="FFFF6600"/>
      <rgbColor rgb="FF725990"/>
      <rgbColor rgb="FF999999"/>
      <rgbColor rgb="FF003366"/>
      <rgbColor rgb="FF4299B0"/>
      <rgbColor rgb="FF003300"/>
      <rgbColor rgb="FF333300"/>
      <rgbColor rgb="FF993300"/>
      <rgbColor rgb="FF6666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CA" sz="1800" spc="-1" strike="noStrike">
                <a:solidFill>
                  <a:srgbClr val="000000"/>
                </a:solidFill>
                <a:latin typeface="Calibri"/>
              </a:defRPr>
            </a:pPr>
            <a:r>
              <a:rPr b="1" lang="en-CA" sz="1800" spc="-1" strike="noStrike">
                <a:solidFill>
                  <a:srgbClr val="000000"/>
                </a:solidFill>
                <a:latin typeface="Calibri"/>
              </a:rPr>
              <a:t>Missed AWT Blocks by Day</a:t>
            </a:r>
          </a:p>
        </c:rich>
      </c:tx>
      <c:overlay val="0"/>
      <c:spPr>
        <a:noFill/>
        <a:ln w="0">
          <a:noFill/>
        </a:ln>
      </c:spPr>
    </c:title>
    <c:autoTitleDeleted val="0"/>
    <c:plotArea>
      <c:barChart>
        <c:barDir val="col"/>
        <c:grouping val="clustered"/>
        <c:varyColors val="1"/>
        <c:ser>
          <c:idx val="0"/>
          <c:order val="0"/>
          <c:tx>
            <c:strRef>
              <c:f>'Weekly Narrative'!$B$26</c:f>
              <c:strCache>
                <c:ptCount val="1"/>
                <c:pt idx="0">
                  <c:v>Missed AWT Blocks</c:v>
                </c:pt>
              </c:strCache>
            </c:strRef>
          </c:tx>
          <c:spPr>
            <a:solidFill>
              <a:srgbClr val="4f81bd"/>
            </a:solidFill>
            <a:ln w="0">
              <a:noFill/>
            </a:ln>
          </c:spPr>
          <c:invertIfNegative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Lbls>
            <c:numFmt formatCode="General" sourceLinked="1"/>
            <c:dLbl>
              <c:idx val="0"/>
              <c:numFmt formatCode="General" sourceLinked="1"/>
              <c:txPr>
                <a:bodyPr wrap="square"/>
                <a:lstStyle/>
                <a:p>
                  <a:pPr>
                    <a:defRPr b="0" sz="1000" spc="-1" strike="noStrike">
                      <a:solidFill>
                        <a:srgbClr val="000000"/>
                      </a:solidFill>
                      <a:latin typeface="Calibri"/>
                    </a:defRPr>
                  </a:pPr>
                </a:p>
              </c:txPr>
              <c:dLblPos val="outEnd"/>
              <c:showLegendKey val="0"/>
              <c:showVal val="1"/>
              <c:showCatName val="1"/>
              <c:showSerName val="0"/>
              <c:showPercent val="0"/>
              <c:separator>; </c:separator>
            </c:dLbl>
            <c:dLbl>
              <c:idx val="1"/>
              <c:numFmt formatCode="General" sourceLinked="1"/>
              <c:txPr>
                <a:bodyPr wrap="square"/>
                <a:lstStyle/>
                <a:p>
                  <a:pPr>
                    <a:defRPr b="0" sz="1000" spc="-1" strike="noStrike">
                      <a:solidFill>
                        <a:srgbClr val="000000"/>
                      </a:solidFill>
                      <a:latin typeface="Calibri"/>
                    </a:defRPr>
                  </a:pPr>
                </a:p>
              </c:txPr>
              <c:dLblPos val="outEnd"/>
              <c:showLegendKey val="0"/>
              <c:showVal val="1"/>
              <c:showCatName val="1"/>
              <c:showSerName val="0"/>
              <c:showPercent val="0"/>
              <c:separator>; </c:separator>
            </c:dLbl>
            <c:dLbl>
              <c:idx val="2"/>
              <c:numFmt formatCode="General" sourceLinked="1"/>
              <c:txPr>
                <a:bodyPr wrap="square"/>
                <a:lstStyle/>
                <a:p>
                  <a:pPr>
                    <a:defRPr b="0" sz="1000" spc="-1" strike="noStrike">
                      <a:solidFill>
                        <a:srgbClr val="000000"/>
                      </a:solidFill>
                      <a:latin typeface="Calibri"/>
                    </a:defRPr>
                  </a:pPr>
                </a:p>
              </c:txPr>
              <c:dLblPos val="outEnd"/>
              <c:showLegendKey val="0"/>
              <c:showVal val="1"/>
              <c:showCatName val="1"/>
              <c:showSerName val="0"/>
              <c:showPercent val="0"/>
              <c:separator>; </c:separator>
            </c:dLbl>
            <c:dLbl>
              <c:idx val="3"/>
              <c:numFmt formatCode="General" sourceLinked="1"/>
              <c:txPr>
                <a:bodyPr wrap="square"/>
                <a:lstStyle/>
                <a:p>
                  <a:pPr>
                    <a:defRPr b="0" sz="1000" spc="-1" strike="noStrike">
                      <a:solidFill>
                        <a:srgbClr val="000000"/>
                      </a:solidFill>
                      <a:latin typeface="Calibri"/>
                    </a:defRPr>
                  </a:pPr>
                </a:p>
              </c:txPr>
              <c:dLblPos val="outEnd"/>
              <c:showLegendKey val="0"/>
              <c:showVal val="1"/>
              <c:showCatName val="1"/>
              <c:showSerName val="0"/>
              <c:showPercent val="0"/>
              <c:separator>; </c:separator>
            </c:dLbl>
            <c:dLbl>
              <c:idx val="4"/>
              <c:numFmt formatCode="General" sourceLinked="1"/>
              <c:txPr>
                <a:bodyPr wrap="square"/>
                <a:lstStyle/>
                <a:p>
                  <a:pPr>
                    <a:defRPr b="0" sz="1000" spc="-1" strike="noStrike">
                      <a:solidFill>
                        <a:srgbClr val="000000"/>
                      </a:solidFill>
                      <a:latin typeface="Calibri"/>
                    </a:defRPr>
                  </a:pPr>
                </a:p>
              </c:txPr>
              <c:dLblPos val="outEnd"/>
              <c:showLegendKey val="0"/>
              <c:showVal val="1"/>
              <c:showCatName val="1"/>
              <c:showSerName val="0"/>
              <c:showPercent val="0"/>
              <c:separator>; </c:separator>
            </c:dLbl>
            <c:dLbl>
              <c:idx val="5"/>
              <c:numFmt formatCode="General" sourceLinked="1"/>
              <c:txPr>
                <a:bodyPr wrap="square"/>
                <a:lstStyle/>
                <a:p>
                  <a:pPr>
                    <a:defRPr b="0" sz="1000" spc="-1" strike="noStrike">
                      <a:solidFill>
                        <a:srgbClr val="000000"/>
                      </a:solidFill>
                      <a:latin typeface="Calibri"/>
                    </a:defRPr>
                  </a:pPr>
                </a:p>
              </c:txPr>
              <c:dLblPos val="outEnd"/>
              <c:showLegendKey val="0"/>
              <c:showVal val="1"/>
              <c:showCatName val="1"/>
              <c:showSerName val="0"/>
              <c:showPercent val="0"/>
              <c:separator>; </c:separator>
            </c:dLbl>
            <c:dLbl>
              <c:idx val="6"/>
              <c:numFmt formatCode="General" sourceLinked="1"/>
              <c:txPr>
                <a:bodyPr wrap="square"/>
                <a:lstStyle/>
                <a:p>
                  <a:pPr>
                    <a:defRPr b="0" sz="1000" spc="-1" strike="noStrike">
                      <a:solidFill>
                        <a:srgbClr val="000000"/>
                      </a:solidFill>
                      <a:latin typeface="Calibri"/>
                    </a:defRPr>
                  </a:pPr>
                </a:p>
              </c:txPr>
              <c:dLblPos val="outEnd"/>
              <c:showLegendKey val="0"/>
              <c:showVal val="1"/>
              <c:showCatName val="1"/>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1"/>
            <c:showSerName val="0"/>
            <c:showPercent val="0"/>
            <c:separator>; </c:separator>
            <c:showLeaderLines val="0"/>
            <c:extLst>
              <c:ext xmlns:c15="http://schemas.microsoft.com/office/drawing/2012/chart" uri="{CE6537A1-D6FC-4f65-9D91-7224C49458BB}">
                <c15:showLeaderLines val="0"/>
              </c:ext>
            </c:extLst>
          </c:dLbls>
          <c:cat>
            <c:strRef>
              <c:f>'Weekly Narrative'!$A$27:$A$33</c:f>
              <c:strCache>
                <c:ptCount val="7"/>
                <c:pt idx="0">
                  <c:v>Monday</c:v>
                </c:pt>
                <c:pt idx="1">
                  <c:v>Tuesday</c:v>
                </c:pt>
                <c:pt idx="2">
                  <c:v>Wednesday</c:v>
                </c:pt>
                <c:pt idx="3">
                  <c:v>Thursday</c:v>
                </c:pt>
                <c:pt idx="4">
                  <c:v>Friday</c:v>
                </c:pt>
                <c:pt idx="5">
                  <c:v>Saturday</c:v>
                </c:pt>
                <c:pt idx="6">
                  <c:v>TOTAL</c:v>
                </c:pt>
              </c:strCache>
            </c:strRef>
          </c:cat>
          <c:val>
            <c:numRef>
              <c:f>'Weekly Narrative'!$B$27:$B$33</c:f>
              <c:numCache>
                <c:formatCode>General</c:formatCode>
                <c:ptCount val="7"/>
                <c:pt idx="0">
                  <c:v>16</c:v>
                </c:pt>
                <c:pt idx="1">
                  <c:v>1</c:v>
                </c:pt>
                <c:pt idx="2">
                  <c:v>17</c:v>
                </c:pt>
                <c:pt idx="3">
                  <c:v>11</c:v>
                </c:pt>
                <c:pt idx="4">
                  <c:v>6</c:v>
                </c:pt>
                <c:pt idx="5">
                  <c:v>2</c:v>
                </c:pt>
                <c:pt idx="6">
                  <c:v>53</c:v>
                </c:pt>
              </c:numCache>
            </c:numRef>
          </c:val>
        </c:ser>
        <c:gapWidth val="150"/>
        <c:overlap val="0"/>
        <c:axId val="31169645"/>
        <c:axId val="9972143"/>
      </c:barChart>
      <c:catAx>
        <c:axId val="31169645"/>
        <c:scaling>
          <c:orientation val="minMax"/>
        </c:scaling>
        <c:delete val="1"/>
        <c:axPos val="b"/>
        <c:title>
          <c:tx>
            <c:rich>
              <a:bodyPr rot="0"/>
              <a:lstStyle/>
              <a:p>
                <a:pPr>
                  <a:defRPr b="1" lang="en-CA" sz="1000" spc="-1" strike="noStrike">
                    <a:solidFill>
                      <a:srgbClr val="000000"/>
                    </a:solidFill>
                    <a:latin typeface="Calibri"/>
                  </a:defRPr>
                </a:pPr>
                <a:r>
                  <a:rPr b="1" lang="en-CA"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72143"/>
        <c:auto val="1"/>
        <c:lblAlgn val="ctr"/>
        <c:lblOffset val="100"/>
        <c:noMultiLvlLbl val="0"/>
      </c:catAx>
      <c:valAx>
        <c:axId val="9972143"/>
        <c:scaling>
          <c:orientation val="minMax"/>
        </c:scaling>
        <c:delete val="1"/>
        <c:axPos val="l"/>
        <c:majorGridlines>
          <c:spPr>
            <a:ln w="9360">
              <a:solidFill>
                <a:srgbClr val="878787"/>
              </a:solidFill>
              <a:round/>
            </a:ln>
          </c:spPr>
        </c:majorGridlines>
        <c:title>
          <c:tx>
            <c:rich>
              <a:bodyPr rot="-5400000"/>
              <a:lstStyle/>
              <a:p>
                <a:pPr>
                  <a:defRPr b="1" lang="en-CA" sz="1000" spc="-1" strike="noStrike">
                    <a:solidFill>
                      <a:srgbClr val="000000"/>
                    </a:solidFill>
                    <a:latin typeface="Calibri"/>
                  </a:defRPr>
                </a:pPr>
                <a:r>
                  <a:rPr b="1" lang="en-CA" sz="1000" spc="-1" strike="noStrike">
                    <a:solidFill>
                      <a:srgbClr val="000000"/>
                    </a:solidFill>
                    <a:latin typeface="Calibri"/>
                  </a:rPr>
                  <a:t>Missed Blocks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169645"/>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162000</xdr:colOff>
      <xdr:row>3</xdr:row>
      <xdr:rowOff>114480</xdr:rowOff>
    </xdr:from>
    <xdr:to>
      <xdr:col>14</xdr:col>
      <xdr:colOff>3217320</xdr:colOff>
      <xdr:row>19</xdr:row>
      <xdr:rowOff>36720</xdr:rowOff>
    </xdr:to>
    <xdr:graphicFrame>
      <xdr:nvGraphicFramePr>
        <xdr:cNvPr id="0" name="Chart 1"/>
        <xdr:cNvGraphicFramePr/>
      </xdr:nvGraphicFramePr>
      <xdr:xfrm>
        <a:off x="11088360" y="800280"/>
        <a:ext cx="5542560" cy="297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ActionTracker" displayName="ActionTracker" ref="A5:H9" headerRowCount="1" totalsRowCount="0" totalsRowShown="0">
  <autoFilter ref="A5:H9"/>
  <tableColumns count="8">
    <tableColumn id="1" name="Priority"/>
    <tableColumn id="2" name="Action Item"/>
    <tableColumn id="3" name="Trigger / Driver"/>
    <tableColumn id="4" name="Owner"/>
    <tableColumn id="5" name="Due Date"/>
    <tableColumn id="6" name="Expected Impact"/>
    <tableColumn id="7" name="Status"/>
    <tableColumn id="8" name="Notes"/>
  </tableColumns>
</table>
</file>

<file path=xl/tables/table2.xml><?xml version="1.0" encoding="utf-8"?>
<table xmlns="http://schemas.openxmlformats.org/spreadsheetml/2006/main" id="2" name="CriteriaMatrix" displayName="CriteriaMatrix" ref="A5:H19" headerRowCount="1" totalsRowCount="0" totalsRowShown="0">
  <autoFilter ref="A5:H19"/>
  <tableColumns count="8">
    <tableColumn id="1" name="Category"/>
    <tableColumn id="2" name="Report Item"/>
    <tableColumn id="3" name="Definition / Question Answered"/>
    <tableColumn id="4" name="Calculation / Formula"/>
    <tableColumn id="5" name="Threshold / Flag"/>
    <tableColumn id="6" name="Owner"/>
    <tableColumn id="7" name="Cadence"/>
    <tableColumn id="8" name="Why It Matters"/>
  </tableColumns>
</table>
</file>

<file path=xl/tables/table3.xml><?xml version="1.0" encoding="utf-8"?>
<table xmlns="http://schemas.openxmlformats.org/spreadsheetml/2006/main" id="3" name="DataInput" displayName="DataInput" ref="A5:R143" headerRowCount="1" totalsRowCount="0" totalsRowShown="0">
  <autoFilter ref="A5:R143">
    <filterColumn colId="11">
      <customFilters and="true">
        <customFilter operator="greaterThan" val="2"/>
      </customFilters>
    </filterColumn>
  </autoFilter>
  <tableColumns count="18">
    <tableColumn id="1" name="Week Start"/>
    <tableColumn id="2" name="Week End"/>
    <tableColumn id="3" name="Day"/>
    <tableColumn id="4" name="Time Block"/>
    <tableColumn id="5" name="Forecast Calls"/>
    <tableColumn id="6" name="Offered Calls"/>
    <tableColumn id="7" name="Handled Calls"/>
    <tableColumn id="8" name="Abandoned Calls"/>
    <tableColumn id="9" name="Abandon %"/>
    <tableColumn id="10" name="Abn&gt;30s Calls"/>
    <tableColumn id="11" name="Abn&gt;30s %"/>
    <tableColumn id="12" name="AWT Minutes"/>
    <tableColumn id="13" name="AHT Seconds"/>
    <tableColumn id="14" name="Required Staff"/>
    <tableColumn id="15" name="Scheduled Staff"/>
    <tableColumn id="16" name="Productive Staff"/>
    <tableColumn id="17" name="Primary Driver"/>
    <tableColumn id="18" name="Action Taken"/>
  </tableColumns>
</table>
</file>

<file path=xl/tables/table4.xml><?xml version="1.0" encoding="utf-8"?>
<table xmlns="http://schemas.openxmlformats.org/spreadsheetml/2006/main" id="4" name="Definitions" displayName="Definitions" ref="A5:D12" headerRowCount="1" totalsRowCount="0" totalsRowShown="0">
  <autoFilter ref="A5:D12"/>
  <tableColumns count="4">
    <tableColumn id="1" name="Metric"/>
    <tableColumn id="2" name="Definition"/>
    <tableColumn id="3" name="Spreadsheet Formula Example"/>
    <tableColumn id="4" name="Notes"/>
  </tableColumns>
</table>
</file>

<file path=xl/tables/table5.xml><?xml version="1.0" encoding="utf-8"?>
<table xmlns="http://schemas.openxmlformats.org/spreadsheetml/2006/main" id="5" name="SourcesTable" displayName="SourcesTable" ref="A5:C10" headerRowCount="1" totalsRowCount="0" totalsRowShown="0">
  <autoFilter ref="A5:C10"/>
  <tableColumns count="3">
    <tableColumn id="1" name="Source Type"/>
    <tableColumn id="2" name="Description"/>
    <tableColumn id="3" name="Reference / UR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2" min="1" style="1" width="45"/>
    <col collapsed="false" customWidth="true" hidden="false" outlineLevel="0" max="8" min="3" style="1" width="10"/>
  </cols>
  <sheetData>
    <row r="1" customFormat="false" ht="24"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3" customFormat="false" ht="15" hidden="false" customHeight="true" outlineLevel="0" collapsed="false">
      <c r="A3" s="4"/>
      <c r="B3" s="4"/>
      <c r="C3" s="4"/>
      <c r="D3" s="4"/>
      <c r="E3" s="4"/>
      <c r="F3" s="4"/>
      <c r="G3" s="4"/>
      <c r="H3" s="4"/>
    </row>
    <row r="4" customFormat="false" ht="15" hidden="false" customHeight="true" outlineLevel="0" collapsed="false">
      <c r="A4" s="5" t="s">
        <v>2</v>
      </c>
      <c r="B4" s="5" t="s">
        <v>3</v>
      </c>
      <c r="C4" s="5"/>
      <c r="D4" s="5"/>
      <c r="E4" s="5"/>
      <c r="F4" s="5"/>
      <c r="G4" s="5"/>
      <c r="H4" s="5"/>
    </row>
    <row r="5" customFormat="false" ht="45" hidden="false" customHeight="true" outlineLevel="0" collapsed="false">
      <c r="A5" s="4" t="s">
        <v>4</v>
      </c>
      <c r="B5" s="4" t="s">
        <v>5</v>
      </c>
      <c r="C5" s="4"/>
      <c r="D5" s="4"/>
      <c r="E5" s="4"/>
      <c r="F5" s="4"/>
      <c r="G5" s="4"/>
      <c r="H5" s="4"/>
    </row>
    <row r="6" customFormat="false" ht="45" hidden="false" customHeight="true" outlineLevel="0" collapsed="false">
      <c r="A6" s="4" t="s">
        <v>6</v>
      </c>
      <c r="B6" s="4" t="s">
        <v>7</v>
      </c>
      <c r="C6" s="4"/>
      <c r="D6" s="4"/>
      <c r="E6" s="4"/>
      <c r="F6" s="4"/>
      <c r="G6" s="4"/>
      <c r="H6" s="4"/>
    </row>
    <row r="7" customFormat="false" ht="30" hidden="false" customHeight="true" outlineLevel="0" collapsed="false">
      <c r="A7" s="4" t="s">
        <v>8</v>
      </c>
      <c r="B7" s="4" t="s">
        <v>9</v>
      </c>
      <c r="C7" s="4"/>
      <c r="D7" s="4"/>
      <c r="E7" s="4"/>
      <c r="F7" s="4"/>
      <c r="G7" s="4"/>
      <c r="H7" s="4"/>
    </row>
    <row r="8" customFormat="false" ht="30" hidden="false" customHeight="true" outlineLevel="0" collapsed="false">
      <c r="A8" s="4" t="s">
        <v>10</v>
      </c>
      <c r="B8" s="4" t="s">
        <v>11</v>
      </c>
      <c r="C8" s="4"/>
      <c r="D8" s="4"/>
      <c r="E8" s="4"/>
      <c r="F8" s="4"/>
      <c r="G8" s="4"/>
      <c r="H8" s="4"/>
    </row>
    <row r="9" customFormat="false" ht="30" hidden="false" customHeight="true" outlineLevel="0" collapsed="false">
      <c r="A9" s="4" t="s">
        <v>12</v>
      </c>
      <c r="B9" s="4" t="s">
        <v>13</v>
      </c>
      <c r="C9" s="4"/>
      <c r="D9" s="4"/>
      <c r="E9" s="4"/>
      <c r="F9" s="4"/>
      <c r="G9" s="4"/>
      <c r="H9" s="4"/>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2" activeCellId="0" sqref="A2"/>
    </sheetView>
  </sheetViews>
  <sheetFormatPr defaultColWidth="8.6796875" defaultRowHeight="15" zeroHeight="false" outlineLevelRow="0" outlineLevelCol="0"/>
  <cols>
    <col collapsed="false" customWidth="true" hidden="false" outlineLevel="0" max="1" min="1" style="1" width="19.71"/>
    <col collapsed="false" customWidth="true" hidden="false" outlineLevel="0" max="2" min="2" style="1" width="38.71"/>
    <col collapsed="false" customWidth="true" hidden="false" outlineLevel="0" max="4" min="3" style="1" width="45"/>
    <col collapsed="false" customWidth="true" hidden="false" outlineLevel="0" max="5" min="5" style="1" width="43"/>
    <col collapsed="false" customWidth="true" hidden="false" outlineLevel="0" max="6" min="6" style="1" width="17"/>
    <col collapsed="false" customWidth="true" hidden="false" outlineLevel="0" max="7" min="7" style="1" width="10"/>
    <col collapsed="false" customWidth="true" hidden="false" outlineLevel="0" max="8" min="8" style="1" width="45"/>
  </cols>
  <sheetData>
    <row r="1" customFormat="false" ht="24" hidden="false" customHeight="true" outlineLevel="0" collapsed="false">
      <c r="A1" s="2" t="s">
        <v>14</v>
      </c>
      <c r="B1" s="2"/>
      <c r="C1" s="2"/>
      <c r="D1" s="2"/>
      <c r="E1" s="2"/>
      <c r="F1" s="2"/>
      <c r="G1" s="2"/>
      <c r="H1" s="2"/>
    </row>
    <row r="2" customFormat="false" ht="15" hidden="false" customHeight="true" outlineLevel="0" collapsed="false">
      <c r="A2" s="3" t="s">
        <v>15</v>
      </c>
      <c r="B2" s="3"/>
      <c r="C2" s="3"/>
      <c r="D2" s="3"/>
      <c r="E2" s="3"/>
      <c r="F2" s="3"/>
      <c r="G2" s="3"/>
      <c r="H2" s="3"/>
    </row>
    <row r="3" customFormat="false" ht="15" hidden="false" customHeight="true" outlineLevel="0" collapsed="false">
      <c r="A3" s="5"/>
      <c r="B3" s="5"/>
      <c r="C3" s="5"/>
      <c r="D3" s="5"/>
      <c r="E3" s="5"/>
      <c r="F3" s="5"/>
      <c r="G3" s="5"/>
      <c r="H3" s="5"/>
    </row>
    <row r="4" customFormat="false" ht="15" hidden="false" customHeight="true" outlineLevel="0" collapsed="false">
      <c r="A4" s="4"/>
      <c r="B4" s="4"/>
      <c r="C4" s="4"/>
      <c r="D4" s="4"/>
      <c r="E4" s="4"/>
      <c r="F4" s="4"/>
      <c r="G4" s="4"/>
      <c r="H4" s="4"/>
    </row>
    <row r="5" customFormat="false" ht="15" hidden="false" customHeight="true" outlineLevel="0" collapsed="false">
      <c r="A5" s="6" t="s">
        <v>16</v>
      </c>
      <c r="B5" s="6" t="s">
        <v>17</v>
      </c>
      <c r="C5" s="6" t="s">
        <v>18</v>
      </c>
      <c r="D5" s="6" t="s">
        <v>19</v>
      </c>
      <c r="E5" s="6" t="s">
        <v>20</v>
      </c>
      <c r="F5" s="6" t="s">
        <v>21</v>
      </c>
      <c r="G5" s="6" t="s">
        <v>22</v>
      </c>
      <c r="H5" s="6" t="s">
        <v>23</v>
      </c>
    </row>
    <row r="6" customFormat="false" ht="30" hidden="false" customHeight="true" outlineLevel="0" collapsed="false">
      <c r="A6" s="4" t="s">
        <v>24</v>
      </c>
      <c r="B6" s="4" t="s">
        <v>25</v>
      </c>
      <c r="C6" s="4" t="s">
        <v>26</v>
      </c>
      <c r="D6" s="4" t="s">
        <v>27</v>
      </c>
      <c r="E6" s="4" t="s">
        <v>28</v>
      </c>
      <c r="F6" s="4" t="s">
        <v>29</v>
      </c>
      <c r="G6" s="4" t="s">
        <v>30</v>
      </c>
      <c r="H6" s="4" t="s">
        <v>31</v>
      </c>
    </row>
    <row r="7" customFormat="false" ht="30" hidden="false" customHeight="true" outlineLevel="0" collapsed="false">
      <c r="A7" s="4" t="s">
        <v>24</v>
      </c>
      <c r="B7" s="4" t="s">
        <v>32</v>
      </c>
      <c r="C7" s="4" t="s">
        <v>33</v>
      </c>
      <c r="D7" s="4" t="s">
        <v>34</v>
      </c>
      <c r="E7" s="4" t="s">
        <v>35</v>
      </c>
      <c r="F7" s="4" t="s">
        <v>29</v>
      </c>
      <c r="G7" s="4" t="s">
        <v>30</v>
      </c>
      <c r="H7" s="4" t="s">
        <v>36</v>
      </c>
    </row>
    <row r="8" customFormat="false" ht="30" hidden="false" customHeight="true" outlineLevel="0" collapsed="false">
      <c r="A8" s="4" t="s">
        <v>24</v>
      </c>
      <c r="B8" s="4" t="s">
        <v>37</v>
      </c>
      <c r="C8" s="4" t="s">
        <v>38</v>
      </c>
      <c r="D8" s="4" t="s">
        <v>39</v>
      </c>
      <c r="E8" s="4" t="s">
        <v>40</v>
      </c>
      <c r="F8" s="4" t="s">
        <v>29</v>
      </c>
      <c r="G8" s="4" t="s">
        <v>30</v>
      </c>
      <c r="H8" s="4" t="s">
        <v>41</v>
      </c>
    </row>
    <row r="9" customFormat="false" ht="30" hidden="false" customHeight="true" outlineLevel="0" collapsed="false">
      <c r="A9" s="4" t="s">
        <v>24</v>
      </c>
      <c r="B9" s="4" t="s">
        <v>42</v>
      </c>
      <c r="C9" s="4" t="s">
        <v>43</v>
      </c>
      <c r="D9" s="4" t="s">
        <v>44</v>
      </c>
      <c r="E9" s="4" t="s">
        <v>45</v>
      </c>
      <c r="F9" s="4" t="s">
        <v>29</v>
      </c>
      <c r="G9" s="4" t="s">
        <v>30</v>
      </c>
      <c r="H9" s="4" t="s">
        <v>46</v>
      </c>
    </row>
    <row r="10" customFormat="false" ht="30" hidden="false" customHeight="true" outlineLevel="0" collapsed="false">
      <c r="A10" s="4" t="s">
        <v>47</v>
      </c>
      <c r="B10" s="4" t="s">
        <v>48</v>
      </c>
      <c r="C10" s="4" t="s">
        <v>49</v>
      </c>
      <c r="D10" s="4" t="s">
        <v>50</v>
      </c>
      <c r="E10" s="4" t="s">
        <v>51</v>
      </c>
      <c r="F10" s="4" t="s">
        <v>29</v>
      </c>
      <c r="G10" s="4" t="s">
        <v>30</v>
      </c>
      <c r="H10" s="4" t="s">
        <v>52</v>
      </c>
    </row>
    <row r="11" customFormat="false" ht="30" hidden="false" customHeight="true" outlineLevel="0" collapsed="false">
      <c r="A11" s="4" t="s">
        <v>47</v>
      </c>
      <c r="B11" s="4" t="s">
        <v>53</v>
      </c>
      <c r="C11" s="4" t="s">
        <v>54</v>
      </c>
      <c r="D11" s="4" t="s">
        <v>55</v>
      </c>
      <c r="E11" s="4" t="s">
        <v>56</v>
      </c>
      <c r="F11" s="4" t="s">
        <v>29</v>
      </c>
      <c r="G11" s="4" t="s">
        <v>30</v>
      </c>
      <c r="H11" s="4" t="s">
        <v>57</v>
      </c>
    </row>
    <row r="12" customFormat="false" ht="30" hidden="false" customHeight="true" outlineLevel="0" collapsed="false">
      <c r="A12" s="4" t="s">
        <v>58</v>
      </c>
      <c r="B12" s="4" t="s">
        <v>59</v>
      </c>
      <c r="C12" s="4" t="s">
        <v>60</v>
      </c>
      <c r="D12" s="4" t="s">
        <v>61</v>
      </c>
      <c r="E12" s="4" t="s">
        <v>62</v>
      </c>
      <c r="F12" s="4" t="s">
        <v>29</v>
      </c>
      <c r="G12" s="4" t="s">
        <v>30</v>
      </c>
      <c r="H12" s="4" t="s">
        <v>63</v>
      </c>
    </row>
    <row r="13" customFormat="false" ht="30" hidden="false" customHeight="true" outlineLevel="0" collapsed="false">
      <c r="A13" s="4" t="s">
        <v>64</v>
      </c>
      <c r="B13" s="4" t="s">
        <v>65</v>
      </c>
      <c r="C13" s="4" t="s">
        <v>66</v>
      </c>
      <c r="D13" s="4" t="s">
        <v>67</v>
      </c>
      <c r="E13" s="4" t="s">
        <v>68</v>
      </c>
      <c r="F13" s="4" t="s">
        <v>29</v>
      </c>
      <c r="G13" s="4" t="s">
        <v>30</v>
      </c>
      <c r="H13" s="4" t="s">
        <v>69</v>
      </c>
    </row>
    <row r="14" customFormat="false" ht="30" hidden="false" customHeight="true" outlineLevel="0" collapsed="false">
      <c r="A14" s="4" t="s">
        <v>70</v>
      </c>
      <c r="B14" s="4" t="s">
        <v>71</v>
      </c>
      <c r="C14" s="4" t="s">
        <v>72</v>
      </c>
      <c r="D14" s="4" t="s">
        <v>73</v>
      </c>
      <c r="E14" s="4" t="s">
        <v>74</v>
      </c>
      <c r="F14" s="4" t="s">
        <v>75</v>
      </c>
      <c r="G14" s="4" t="s">
        <v>30</v>
      </c>
      <c r="H14" s="4" t="s">
        <v>76</v>
      </c>
    </row>
    <row r="15" customFormat="false" ht="30" hidden="false" customHeight="true" outlineLevel="0" collapsed="false">
      <c r="A15" s="4" t="s">
        <v>70</v>
      </c>
      <c r="B15" s="4" t="s">
        <v>77</v>
      </c>
      <c r="C15" s="4" t="s">
        <v>78</v>
      </c>
      <c r="D15" s="4" t="s">
        <v>79</v>
      </c>
      <c r="E15" s="4" t="s">
        <v>80</v>
      </c>
      <c r="F15" s="4" t="s">
        <v>75</v>
      </c>
      <c r="G15" s="4" t="s">
        <v>30</v>
      </c>
      <c r="H15" s="4" t="s">
        <v>81</v>
      </c>
    </row>
    <row r="16" customFormat="false" ht="30" hidden="false" customHeight="true" outlineLevel="0" collapsed="false">
      <c r="A16" s="4" t="s">
        <v>82</v>
      </c>
      <c r="B16" s="4" t="s">
        <v>83</v>
      </c>
      <c r="C16" s="4" t="s">
        <v>84</v>
      </c>
      <c r="D16" s="4" t="s">
        <v>85</v>
      </c>
      <c r="E16" s="4" t="s">
        <v>86</v>
      </c>
      <c r="F16" s="4" t="s">
        <v>87</v>
      </c>
      <c r="G16" s="4" t="s">
        <v>30</v>
      </c>
      <c r="H16" s="4" t="s">
        <v>88</v>
      </c>
    </row>
    <row r="17" customFormat="false" ht="30" hidden="false" customHeight="true" outlineLevel="0" collapsed="false">
      <c r="A17" s="4" t="s">
        <v>89</v>
      </c>
      <c r="B17" s="4" t="s">
        <v>90</v>
      </c>
      <c r="C17" s="4" t="s">
        <v>91</v>
      </c>
      <c r="D17" s="4" t="s">
        <v>92</v>
      </c>
      <c r="E17" s="4" t="s">
        <v>93</v>
      </c>
      <c r="F17" s="4" t="s">
        <v>29</v>
      </c>
      <c r="G17" s="4" t="s">
        <v>30</v>
      </c>
      <c r="H17" s="4" t="s">
        <v>94</v>
      </c>
    </row>
    <row r="18" customFormat="false" ht="30" hidden="false" customHeight="true" outlineLevel="0" collapsed="false">
      <c r="A18" s="4" t="s">
        <v>95</v>
      </c>
      <c r="B18" s="4" t="s">
        <v>96</v>
      </c>
      <c r="C18" s="4" t="s">
        <v>97</v>
      </c>
      <c r="D18" s="4" t="s">
        <v>98</v>
      </c>
      <c r="E18" s="4" t="s">
        <v>99</v>
      </c>
      <c r="F18" s="4" t="s">
        <v>100</v>
      </c>
      <c r="G18" s="4" t="s">
        <v>30</v>
      </c>
      <c r="H18" s="4" t="s">
        <v>101</v>
      </c>
    </row>
    <row r="19" customFormat="false" ht="15" hidden="false" customHeight="true" outlineLevel="0" collapsed="false">
      <c r="A19" s="4" t="s">
        <v>102</v>
      </c>
      <c r="B19" s="4" t="s">
        <v>103</v>
      </c>
      <c r="C19" s="4" t="s">
        <v>104</v>
      </c>
      <c r="D19" s="4" t="s">
        <v>105</v>
      </c>
      <c r="E19" s="4" t="s">
        <v>106</v>
      </c>
      <c r="F19" s="4" t="s">
        <v>100</v>
      </c>
      <c r="G19" s="4" t="s">
        <v>30</v>
      </c>
      <c r="H19" s="4" t="s">
        <v>107</v>
      </c>
    </row>
    <row r="20" customFormat="false" ht="15" hidden="false" customHeight="true" outlineLevel="0" collapsed="false">
      <c r="A20" s="4" t="s">
        <v>108</v>
      </c>
      <c r="B20" s="4" t="s">
        <v>109</v>
      </c>
      <c r="C20" s="4" t="s">
        <v>110</v>
      </c>
      <c r="D20" s="4" t="s">
        <v>111</v>
      </c>
      <c r="E20" s="4" t="s">
        <v>112</v>
      </c>
      <c r="F20" s="4" t="s">
        <v>113</v>
      </c>
      <c r="G20" s="4" t="s">
        <v>30</v>
      </c>
      <c r="H20" s="4" t="s">
        <v>114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7" activePane="bottomLeft" state="frozen"/>
      <selection pane="topLeft" activeCell="A1" activeCellId="0" sqref="A1"/>
      <selection pane="bottomLeft" activeCell="J1" activeCellId="0" sqref="J1"/>
    </sheetView>
  </sheetViews>
  <sheetFormatPr defaultColWidth="8.6796875" defaultRowHeight="15" zeroHeight="false" outlineLevelRow="0" outlineLevelCol="0"/>
  <cols>
    <col collapsed="false" customWidth="true" hidden="false" outlineLevel="0" max="1" min="1" style="1" width="14.86"/>
    <col collapsed="false" customWidth="true" hidden="false" outlineLevel="0" max="2" min="2" style="1" width="12"/>
    <col collapsed="false" customWidth="true" hidden="false" outlineLevel="0" max="3" min="3" style="1" width="11"/>
    <col collapsed="false" customWidth="true" hidden="false" outlineLevel="0" max="4" min="4" style="1" width="12"/>
    <col collapsed="false" customWidth="true" hidden="false" outlineLevel="0" max="8" min="5" style="1" width="11.43"/>
    <col collapsed="false" customWidth="true" hidden="false" outlineLevel="0" max="11" min="9" style="1" width="9.14"/>
    <col collapsed="false" customWidth="true" hidden="false" outlineLevel="0" max="12" min="12" style="1" width="11.57"/>
    <col collapsed="false" customWidth="true" hidden="false" outlineLevel="0" max="13" min="13" style="1" width="9.86"/>
    <col collapsed="false" customWidth="true" hidden="false" outlineLevel="0" max="16" min="14" style="1" width="12.29"/>
    <col collapsed="false" customWidth="true" hidden="false" outlineLevel="0" max="17" min="17" style="1" width="53.14"/>
    <col collapsed="false" customWidth="true" hidden="false" outlineLevel="0" max="19" min="19" style="1" width="26"/>
    <col collapsed="false" customWidth="true" hidden="false" outlineLevel="0" max="20" min="20" style="1" width="42"/>
  </cols>
  <sheetData>
    <row r="1" customFormat="false" ht="24" hidden="false" customHeight="true" outlineLevel="0" collapsed="false">
      <c r="A1" s="2" t="s">
        <v>115</v>
      </c>
      <c r="B1" s="2"/>
      <c r="C1" s="2"/>
      <c r="D1" s="2"/>
      <c r="E1" s="2"/>
      <c r="F1" s="2"/>
      <c r="G1" s="2"/>
      <c r="H1" s="2"/>
      <c r="I1" s="2"/>
      <c r="J1" s="4"/>
      <c r="K1" s="4"/>
      <c r="L1" s="4"/>
      <c r="M1" s="4"/>
      <c r="N1" s="4"/>
      <c r="O1" s="4"/>
      <c r="P1" s="4"/>
      <c r="Q1" s="4"/>
      <c r="R1" s="4"/>
    </row>
    <row r="2" customFormat="false" ht="15" hidden="false" customHeight="true" outlineLevel="0" collapsed="false">
      <c r="A2" s="3" t="s">
        <v>116</v>
      </c>
      <c r="B2" s="3"/>
      <c r="C2" s="3"/>
      <c r="D2" s="3"/>
      <c r="E2" s="3"/>
      <c r="F2" s="3"/>
      <c r="G2" s="3"/>
      <c r="H2" s="3"/>
      <c r="I2" s="3"/>
      <c r="J2" s="4"/>
      <c r="K2" s="4"/>
      <c r="L2" s="4"/>
      <c r="M2" s="4"/>
      <c r="N2" s="4"/>
      <c r="O2" s="4"/>
      <c r="P2" s="4"/>
      <c r="Q2" s="4"/>
      <c r="R2" s="4"/>
    </row>
    <row r="3" customFormat="false" ht="15" hidden="false" customHeight="true" outlineLevel="0" collapsed="false">
      <c r="A3" s="5"/>
      <c r="B3" s="5"/>
      <c r="C3" s="5"/>
      <c r="D3" s="5"/>
      <c r="E3" s="5"/>
      <c r="F3" s="5"/>
      <c r="G3" s="5"/>
      <c r="H3" s="5"/>
      <c r="I3" s="5"/>
      <c r="J3" s="5"/>
      <c r="K3" s="5"/>
      <c r="L3" s="5"/>
      <c r="M3" s="5"/>
      <c r="N3" s="5"/>
      <c r="O3" s="5"/>
      <c r="P3" s="5"/>
      <c r="Q3" s="5"/>
      <c r="R3" s="5"/>
    </row>
    <row r="4" customFormat="false" ht="15" hidden="false" customHeight="true" outlineLevel="0" collapsed="false">
      <c r="A4" s="7"/>
      <c r="B4" s="7"/>
      <c r="C4" s="8"/>
      <c r="D4" s="8"/>
      <c r="E4" s="8"/>
      <c r="F4" s="8"/>
      <c r="G4" s="8"/>
      <c r="H4" s="8"/>
      <c r="I4" s="8"/>
      <c r="J4" s="8"/>
      <c r="K4" s="9"/>
      <c r="L4" s="8"/>
      <c r="M4" s="8"/>
      <c r="N4" s="8"/>
      <c r="O4" s="8"/>
      <c r="P4" s="8"/>
      <c r="Q4" s="8"/>
      <c r="R4" s="8"/>
    </row>
    <row r="5" customFormat="false" ht="30" hidden="false" customHeight="true" outlineLevel="0" collapsed="false">
      <c r="A5" s="10" t="s">
        <v>117</v>
      </c>
      <c r="B5" s="10" t="s">
        <v>118</v>
      </c>
      <c r="C5" s="6" t="s">
        <v>119</v>
      </c>
      <c r="D5" s="6" t="s">
        <v>120</v>
      </c>
      <c r="E5" s="6" t="s">
        <v>121</v>
      </c>
      <c r="F5" s="6" t="s">
        <v>122</v>
      </c>
      <c r="G5" s="6" t="s">
        <v>123</v>
      </c>
      <c r="H5" s="6" t="s">
        <v>124</v>
      </c>
      <c r="I5" s="6" t="s">
        <v>125</v>
      </c>
      <c r="J5" s="6" t="s">
        <v>126</v>
      </c>
      <c r="K5" s="11" t="s">
        <v>127</v>
      </c>
      <c r="L5" s="6" t="s">
        <v>128</v>
      </c>
      <c r="M5" s="6" t="s">
        <v>129</v>
      </c>
      <c r="N5" s="6" t="s">
        <v>130</v>
      </c>
      <c r="O5" s="6" t="s">
        <v>131</v>
      </c>
      <c r="P5" s="6" t="s">
        <v>132</v>
      </c>
      <c r="Q5" s="6" t="s">
        <v>133</v>
      </c>
      <c r="R5" s="6" t="s">
        <v>134</v>
      </c>
      <c r="S5" s="12" t="s">
        <v>135</v>
      </c>
    </row>
    <row r="6" customFormat="false" ht="15" hidden="true" customHeight="true" outlineLevel="0" collapsed="false">
      <c r="A6" s="13" t="n">
        <v>46236</v>
      </c>
      <c r="B6" s="13" t="n">
        <f aca="false">DataInput[[#This Row],[Week Start]]+6</f>
        <v>46242</v>
      </c>
      <c r="C6" s="14" t="s">
        <v>136</v>
      </c>
      <c r="D6" s="15" t="n">
        <v>0.333333333333333</v>
      </c>
      <c r="E6" s="14" t="n">
        <v>140</v>
      </c>
      <c r="F6" s="14" t="n">
        <v>139</v>
      </c>
      <c r="G6" s="14" t="n">
        <v>131</v>
      </c>
      <c r="H6" s="14" t="n">
        <v>8</v>
      </c>
      <c r="I6" s="16" t="n">
        <v>0.0575539568345324</v>
      </c>
      <c r="J6" s="14" t="n">
        <v>6</v>
      </c>
      <c r="K6" s="16" t="n">
        <v>0.0431654676258993</v>
      </c>
      <c r="L6" s="17" t="n">
        <v>1.34007633587786</v>
      </c>
      <c r="M6" s="18" t="n">
        <v>364.073529411765</v>
      </c>
      <c r="N6" s="17" t="n">
        <v>41</v>
      </c>
      <c r="O6" s="17" t="n">
        <v>54.335</v>
      </c>
      <c r="P6" s="17" t="n">
        <v>51.7794444444444</v>
      </c>
      <c r="Q6" s="14"/>
      <c r="R6" s="14"/>
      <c r="S6" s="19" t="str">
        <f aca="false">IF(L6&gt;2,COUNTIF($L$6:L6,"&gt;2"),"")</f>
        <v/>
      </c>
    </row>
    <row r="7" customFormat="false" ht="15" hidden="false" customHeight="true" outlineLevel="0" collapsed="false">
      <c r="A7" s="13" t="n">
        <v>46236</v>
      </c>
      <c r="B7" s="13" t="n">
        <f aca="false">DataInput[[#This Row],[Week Start]]+6</f>
        <v>46242</v>
      </c>
      <c r="C7" s="14" t="s">
        <v>136</v>
      </c>
      <c r="D7" s="15" t="n">
        <v>0.354166666666667</v>
      </c>
      <c r="E7" s="14" t="n">
        <v>217</v>
      </c>
      <c r="F7" s="14" t="n">
        <v>227</v>
      </c>
      <c r="G7" s="14" t="n">
        <v>197</v>
      </c>
      <c r="H7" s="14" t="n">
        <v>30</v>
      </c>
      <c r="I7" s="16" t="n">
        <v>0.13215859030837</v>
      </c>
      <c r="J7" s="14" t="n">
        <v>25</v>
      </c>
      <c r="K7" s="16" t="n">
        <v>0.110132158590308</v>
      </c>
      <c r="L7" s="17" t="n">
        <v>3.39280879864636</v>
      </c>
      <c r="M7" s="18" t="n">
        <v>436.507537688442</v>
      </c>
      <c r="N7" s="17" t="n">
        <v>68</v>
      </c>
      <c r="O7" s="17" t="n">
        <v>58.665</v>
      </c>
      <c r="P7" s="17" t="n">
        <v>59.2122222222222</v>
      </c>
      <c r="Q7" s="14"/>
      <c r="R7" s="14"/>
      <c r="S7" s="19" t="n">
        <f aca="false">IF(L7&gt;2,COUNTIF($L$6:L7,"&gt;2"),"")</f>
        <v>1</v>
      </c>
    </row>
    <row r="8" customFormat="false" ht="15" hidden="true" customHeight="true" outlineLevel="0" collapsed="false">
      <c r="A8" s="13" t="n">
        <v>46236</v>
      </c>
      <c r="B8" s="13" t="n">
        <f aca="false">DataInput[[#This Row],[Week Start]]+6</f>
        <v>46242</v>
      </c>
      <c r="C8" s="14" t="s">
        <v>136</v>
      </c>
      <c r="D8" s="15" t="n">
        <v>0.375</v>
      </c>
      <c r="E8" s="14" t="n">
        <v>218</v>
      </c>
      <c r="F8" s="14" t="n">
        <v>234</v>
      </c>
      <c r="G8" s="14" t="n">
        <v>223</v>
      </c>
      <c r="H8" s="14" t="n">
        <v>11</v>
      </c>
      <c r="I8" s="16" t="n">
        <v>0.047008547008547</v>
      </c>
      <c r="J8" s="14" t="n">
        <v>6</v>
      </c>
      <c r="K8" s="16" t="n">
        <v>0.0256410256410256</v>
      </c>
      <c r="L8" s="17" t="n">
        <v>1.7</v>
      </c>
      <c r="M8" s="18" t="n">
        <v>469.349344978166</v>
      </c>
      <c r="N8" s="17" t="n">
        <v>74</v>
      </c>
      <c r="O8" s="17" t="n">
        <v>80.835</v>
      </c>
      <c r="P8" s="17" t="n">
        <v>80.2061111111111</v>
      </c>
      <c r="Q8" s="14"/>
      <c r="R8" s="14"/>
      <c r="S8" s="19" t="str">
        <f aca="false">IF(L8&gt;2,COUNTIF($L$6:L8,"&gt;2"),"")</f>
        <v/>
      </c>
    </row>
    <row r="9" customFormat="false" ht="15" hidden="true" customHeight="true" outlineLevel="0" collapsed="false">
      <c r="A9" s="13" t="n">
        <v>46236</v>
      </c>
      <c r="B9" s="13" t="n">
        <f aca="false">DataInput[[#This Row],[Week Start]]+6</f>
        <v>46242</v>
      </c>
      <c r="C9" s="14" t="s">
        <v>136</v>
      </c>
      <c r="D9" s="15" t="n">
        <v>0.395833333333333</v>
      </c>
      <c r="E9" s="14" t="n">
        <v>235</v>
      </c>
      <c r="F9" s="14" t="n">
        <v>247</v>
      </c>
      <c r="G9" s="14" t="n">
        <v>245</v>
      </c>
      <c r="H9" s="14" t="n">
        <v>2</v>
      </c>
      <c r="I9" s="16" t="n">
        <v>0.00809716599190283</v>
      </c>
      <c r="J9" s="14" t="n">
        <v>0</v>
      </c>
      <c r="K9" s="16" t="n">
        <v>0</v>
      </c>
      <c r="L9" s="17" t="n">
        <v>0.12952380952381</v>
      </c>
      <c r="M9" s="18" t="n">
        <v>416.948616600791</v>
      </c>
      <c r="N9" s="17" t="n">
        <v>70</v>
      </c>
      <c r="O9" s="17" t="n">
        <v>86.17</v>
      </c>
      <c r="P9" s="17" t="n">
        <v>88.2311111111111</v>
      </c>
      <c r="Q9" s="14"/>
      <c r="R9" s="14"/>
      <c r="S9" s="19" t="str">
        <f aca="false">IF(L9&gt;2,COUNTIF($L$6:L9,"&gt;2"),"")</f>
        <v/>
      </c>
    </row>
    <row r="10" customFormat="false" ht="15" hidden="true" customHeight="true" outlineLevel="0" collapsed="false">
      <c r="A10" s="13" t="n">
        <v>46236</v>
      </c>
      <c r="B10" s="13" t="n">
        <f aca="false">DataInput[[#This Row],[Week Start]]+6</f>
        <v>46242</v>
      </c>
      <c r="C10" s="14" t="s">
        <v>136</v>
      </c>
      <c r="D10" s="15" t="n">
        <v>0.416666666666667</v>
      </c>
      <c r="E10" s="14" t="n">
        <v>288</v>
      </c>
      <c r="F10" s="14" t="n">
        <v>318</v>
      </c>
      <c r="G10" s="14" t="n">
        <v>294</v>
      </c>
      <c r="H10" s="14" t="n">
        <v>24</v>
      </c>
      <c r="I10" s="16" t="n">
        <v>0.0754716981132075</v>
      </c>
      <c r="J10" s="14" t="n">
        <v>19</v>
      </c>
      <c r="K10" s="16" t="n">
        <v>0.059748427672956</v>
      </c>
      <c r="L10" s="17" t="n">
        <v>0.651360544217687</v>
      </c>
      <c r="M10" s="18" t="n">
        <v>425.24</v>
      </c>
      <c r="N10" s="17" t="n">
        <v>85.5</v>
      </c>
      <c r="O10" s="17" t="n">
        <v>89.335</v>
      </c>
      <c r="P10" s="17" t="n">
        <v>87.0744444444445</v>
      </c>
      <c r="Q10" s="14"/>
      <c r="R10" s="14"/>
      <c r="S10" s="19" t="str">
        <f aca="false">IF(L10&gt;2,COUNTIF($L$6:L10,"&gt;2"),"")</f>
        <v/>
      </c>
    </row>
    <row r="11" customFormat="false" ht="15" hidden="false" customHeight="true" outlineLevel="0" collapsed="false">
      <c r="A11" s="13" t="n">
        <v>46236</v>
      </c>
      <c r="B11" s="13" t="n">
        <f aca="false">DataInput[[#This Row],[Week Start]]+6</f>
        <v>46242</v>
      </c>
      <c r="C11" s="14" t="s">
        <v>136</v>
      </c>
      <c r="D11" s="15" t="n">
        <v>0.4375</v>
      </c>
      <c r="E11" s="14" t="n">
        <v>323</v>
      </c>
      <c r="F11" s="14" t="n">
        <v>370</v>
      </c>
      <c r="G11" s="14" t="n">
        <v>316</v>
      </c>
      <c r="H11" s="14" t="n">
        <v>54</v>
      </c>
      <c r="I11" s="16" t="n">
        <v>0.145945945945946</v>
      </c>
      <c r="J11" s="14" t="n">
        <v>47</v>
      </c>
      <c r="K11" s="16" t="n">
        <v>0.127027027027027</v>
      </c>
      <c r="L11" s="17" t="n">
        <v>3.07494725738397</v>
      </c>
      <c r="M11" s="18" t="n">
        <v>445.543209876543</v>
      </c>
      <c r="N11" s="17" t="n">
        <v>92</v>
      </c>
      <c r="O11" s="17" t="n">
        <v>77.5</v>
      </c>
      <c r="P11" s="17" t="n">
        <v>76.5688888888889</v>
      </c>
      <c r="Q11" s="14"/>
      <c r="R11" s="14"/>
      <c r="S11" s="19" t="n">
        <f aca="false">IF(L11&gt;2,COUNTIF($L$6:L11,"&gt;2"),"")</f>
        <v>2</v>
      </c>
    </row>
    <row r="12" customFormat="false" ht="15" hidden="false" customHeight="true" outlineLevel="0" collapsed="false">
      <c r="A12" s="13" t="n">
        <v>46236</v>
      </c>
      <c r="B12" s="13" t="n">
        <f aca="false">DataInput[[#This Row],[Week Start]]+6</f>
        <v>46242</v>
      </c>
      <c r="C12" s="14" t="s">
        <v>136</v>
      </c>
      <c r="D12" s="15" t="n">
        <v>0.458333333333333</v>
      </c>
      <c r="E12" s="14" t="n">
        <v>319</v>
      </c>
      <c r="F12" s="14" t="n">
        <v>341</v>
      </c>
      <c r="G12" s="14" t="n">
        <v>309</v>
      </c>
      <c r="H12" s="14" t="n">
        <v>32</v>
      </c>
      <c r="I12" s="16" t="n">
        <v>0.093841642228739</v>
      </c>
      <c r="J12" s="14" t="n">
        <v>26</v>
      </c>
      <c r="K12" s="16" t="n">
        <v>0.0762463343108504</v>
      </c>
      <c r="L12" s="17" t="n">
        <v>3.76968716289105</v>
      </c>
      <c r="M12" s="18" t="n">
        <v>459.552050473186</v>
      </c>
      <c r="N12" s="17" t="n">
        <v>92.5</v>
      </c>
      <c r="O12" s="17" t="n">
        <v>87</v>
      </c>
      <c r="P12" s="17" t="n">
        <v>80.2405555555556</v>
      </c>
      <c r="Q12" s="14"/>
      <c r="R12" s="14"/>
      <c r="S12" s="19" t="n">
        <f aca="false">IF(L12&gt;2,COUNTIF($L$6:L12,"&gt;2"),"")</f>
        <v>3</v>
      </c>
    </row>
    <row r="13" customFormat="false" ht="15" hidden="true" customHeight="true" outlineLevel="0" collapsed="false">
      <c r="A13" s="13" t="n">
        <v>46236</v>
      </c>
      <c r="B13" s="13" t="n">
        <f aca="false">DataInput[[#This Row],[Week Start]]+6</f>
        <v>46242</v>
      </c>
      <c r="C13" s="14" t="s">
        <v>136</v>
      </c>
      <c r="D13" s="15" t="n">
        <v>0.479166666666667</v>
      </c>
      <c r="E13" s="14" t="n">
        <v>313</v>
      </c>
      <c r="F13" s="14" t="n">
        <v>328</v>
      </c>
      <c r="G13" s="14" t="n">
        <v>313</v>
      </c>
      <c r="H13" s="14" t="n">
        <v>15</v>
      </c>
      <c r="I13" s="16" t="n">
        <v>0.0457317073170732</v>
      </c>
      <c r="J13" s="14" t="n">
        <v>5</v>
      </c>
      <c r="K13" s="16" t="n">
        <v>0.0152439024390244</v>
      </c>
      <c r="L13" s="17" t="n">
        <v>1.34462193823216</v>
      </c>
      <c r="M13" s="18" t="n">
        <v>455.215625</v>
      </c>
      <c r="N13" s="17" t="n">
        <v>95</v>
      </c>
      <c r="O13" s="17" t="n">
        <v>81</v>
      </c>
      <c r="P13" s="17" t="n">
        <v>83.8383333333333</v>
      </c>
      <c r="Q13" s="14"/>
      <c r="R13" s="14"/>
      <c r="S13" s="19" t="str">
        <f aca="false">IF(L13&gt;2,COUNTIF($L$6:L13,"&gt;2"),"")</f>
        <v/>
      </c>
    </row>
    <row r="14" customFormat="false" ht="15" hidden="false" customHeight="true" outlineLevel="0" collapsed="false">
      <c r="A14" s="13" t="n">
        <v>46236</v>
      </c>
      <c r="B14" s="13" t="n">
        <f aca="false">DataInput[[#This Row],[Week Start]]+6</f>
        <v>46242</v>
      </c>
      <c r="C14" s="14" t="s">
        <v>136</v>
      </c>
      <c r="D14" s="15" t="n">
        <v>0.5</v>
      </c>
      <c r="E14" s="14" t="n">
        <v>314</v>
      </c>
      <c r="F14" s="14" t="n">
        <v>349</v>
      </c>
      <c r="G14" s="14" t="n">
        <v>317</v>
      </c>
      <c r="H14" s="14" t="n">
        <v>32</v>
      </c>
      <c r="I14" s="16" t="n">
        <v>0.0916905444126075</v>
      </c>
      <c r="J14" s="14" t="n">
        <v>27</v>
      </c>
      <c r="K14" s="16" t="n">
        <v>0.0773638968481375</v>
      </c>
      <c r="L14" s="17" t="n">
        <v>2.00862250262881</v>
      </c>
      <c r="M14" s="18" t="n">
        <v>425.786144578313</v>
      </c>
      <c r="N14" s="17" t="n">
        <v>91</v>
      </c>
      <c r="O14" s="17" t="n">
        <v>73</v>
      </c>
      <c r="P14" s="17" t="n">
        <v>77.6716666666667</v>
      </c>
      <c r="Q14" s="14"/>
      <c r="R14" s="14"/>
      <c r="S14" s="19" t="n">
        <f aca="false">IF(L14&gt;2,COUNTIF($L$6:L14,"&gt;2"),"")</f>
        <v>4</v>
      </c>
    </row>
    <row r="15" customFormat="false" ht="15" hidden="false" customHeight="true" outlineLevel="0" collapsed="false">
      <c r="A15" s="13" t="n">
        <v>46236</v>
      </c>
      <c r="B15" s="13" t="n">
        <f aca="false">DataInput[[#This Row],[Week Start]]+6</f>
        <v>46242</v>
      </c>
      <c r="C15" s="14" t="s">
        <v>136</v>
      </c>
      <c r="D15" s="15" t="n">
        <v>0.520833333333333</v>
      </c>
      <c r="E15" s="14" t="n">
        <v>291</v>
      </c>
      <c r="F15" s="14" t="n">
        <v>315</v>
      </c>
      <c r="G15" s="14" t="n">
        <v>281</v>
      </c>
      <c r="H15" s="14" t="n">
        <v>34</v>
      </c>
      <c r="I15" s="16" t="n">
        <v>0.107936507936508</v>
      </c>
      <c r="J15" s="14" t="n">
        <v>28</v>
      </c>
      <c r="K15" s="16" t="n">
        <v>0.0888888888888889</v>
      </c>
      <c r="L15" s="17" t="n">
        <v>2.34715302491103</v>
      </c>
      <c r="M15" s="18" t="n">
        <v>446.853242320819</v>
      </c>
      <c r="N15" s="17" t="n">
        <v>100.5</v>
      </c>
      <c r="O15" s="17" t="n">
        <v>78</v>
      </c>
      <c r="P15" s="17" t="n">
        <v>72.795</v>
      </c>
      <c r="Q15" s="14"/>
      <c r="R15" s="14"/>
      <c r="S15" s="19" t="n">
        <f aca="false">IF(L15&gt;2,COUNTIF($L$6:L15,"&gt;2"),"")</f>
        <v>5</v>
      </c>
    </row>
    <row r="16" customFormat="false" ht="15" hidden="false" customHeight="true" outlineLevel="0" collapsed="false">
      <c r="A16" s="13" t="n">
        <v>46236</v>
      </c>
      <c r="B16" s="13" t="n">
        <f aca="false">DataInput[[#This Row],[Week Start]]+6</f>
        <v>46242</v>
      </c>
      <c r="C16" s="14" t="s">
        <v>136</v>
      </c>
      <c r="D16" s="15" t="n">
        <v>0.541666666666667</v>
      </c>
      <c r="E16" s="14" t="n">
        <v>282</v>
      </c>
      <c r="F16" s="14" t="n">
        <v>275</v>
      </c>
      <c r="G16" s="14" t="n">
        <v>244</v>
      </c>
      <c r="H16" s="14" t="n">
        <v>31</v>
      </c>
      <c r="I16" s="16" t="n">
        <v>0.112727272727273</v>
      </c>
      <c r="J16" s="14" t="n">
        <v>23</v>
      </c>
      <c r="K16" s="16" t="n">
        <v>0.0836363636363636</v>
      </c>
      <c r="L16" s="17" t="n">
        <v>2.2172131147541</v>
      </c>
      <c r="M16" s="18" t="n">
        <v>484.01593625498</v>
      </c>
      <c r="N16" s="17" t="n">
        <v>91</v>
      </c>
      <c r="O16" s="17" t="n">
        <v>81</v>
      </c>
      <c r="P16" s="17" t="n">
        <v>74.8677777777778</v>
      </c>
      <c r="Q16" s="14"/>
      <c r="R16" s="14"/>
      <c r="S16" s="19" t="n">
        <f aca="false">IF(L16&gt;2,COUNTIF($L$6:L16,"&gt;2"),"")</f>
        <v>6</v>
      </c>
    </row>
    <row r="17" customFormat="false" ht="15" hidden="false" customHeight="true" outlineLevel="0" collapsed="false">
      <c r="A17" s="13" t="n">
        <v>46236</v>
      </c>
      <c r="B17" s="13" t="n">
        <f aca="false">DataInput[[#This Row],[Week Start]]+6</f>
        <v>46242</v>
      </c>
      <c r="C17" s="14" t="s">
        <v>136</v>
      </c>
      <c r="D17" s="15" t="n">
        <v>0.5625</v>
      </c>
      <c r="E17" s="14" t="n">
        <v>309</v>
      </c>
      <c r="F17" s="14" t="n">
        <v>344</v>
      </c>
      <c r="G17" s="14" t="n">
        <v>301</v>
      </c>
      <c r="H17" s="14" t="n">
        <v>43</v>
      </c>
      <c r="I17" s="16" t="n">
        <v>0.125</v>
      </c>
      <c r="J17" s="14" t="n">
        <v>33</v>
      </c>
      <c r="K17" s="16" t="n">
        <v>0.0959302325581395</v>
      </c>
      <c r="L17" s="17" t="n">
        <v>3.15442967884828</v>
      </c>
      <c r="M17" s="18" t="n">
        <v>492.665594855306</v>
      </c>
      <c r="N17" s="17" t="n">
        <v>97</v>
      </c>
      <c r="O17" s="17" t="n">
        <v>83.165</v>
      </c>
      <c r="P17" s="17" t="n">
        <v>79.7116666666667</v>
      </c>
      <c r="Q17" s="14"/>
      <c r="R17" s="14"/>
      <c r="S17" s="19" t="n">
        <f aca="false">IF(L17&gt;2,COUNTIF($L$6:L17,"&gt;2"),"")</f>
        <v>7</v>
      </c>
    </row>
    <row r="18" customFormat="false" ht="15" hidden="false" customHeight="true" outlineLevel="0" collapsed="false">
      <c r="A18" s="13" t="n">
        <v>46236</v>
      </c>
      <c r="B18" s="13" t="n">
        <f aca="false">DataInput[[#This Row],[Week Start]]+6</f>
        <v>46242</v>
      </c>
      <c r="C18" s="14" t="s">
        <v>136</v>
      </c>
      <c r="D18" s="15" t="n">
        <v>0.583333333333333</v>
      </c>
      <c r="E18" s="14" t="n">
        <v>265</v>
      </c>
      <c r="F18" s="14" t="n">
        <v>294</v>
      </c>
      <c r="G18" s="14" t="n">
        <v>277</v>
      </c>
      <c r="H18" s="14" t="n">
        <v>17</v>
      </c>
      <c r="I18" s="16" t="n">
        <v>0.0578231292517007</v>
      </c>
      <c r="J18" s="14" t="n">
        <v>8</v>
      </c>
      <c r="K18" s="16" t="n">
        <v>0.0272108843537415</v>
      </c>
      <c r="L18" s="17" t="n">
        <v>2.02382671480144</v>
      </c>
      <c r="M18" s="18" t="n">
        <v>465.371024734982</v>
      </c>
      <c r="N18" s="17" t="n">
        <v>81</v>
      </c>
      <c r="O18" s="17" t="n">
        <v>68.665</v>
      </c>
      <c r="P18" s="17" t="n">
        <v>65.5377777777778</v>
      </c>
      <c r="Q18" s="14"/>
      <c r="R18" s="14"/>
      <c r="S18" s="19" t="n">
        <f aca="false">IF(L18&gt;2,COUNTIF($L$6:L18,"&gt;2"),"")</f>
        <v>8</v>
      </c>
    </row>
    <row r="19" customFormat="false" ht="15" hidden="true" customHeight="true" outlineLevel="0" collapsed="false">
      <c r="A19" s="13" t="n">
        <v>46236</v>
      </c>
      <c r="B19" s="13" t="n">
        <f aca="false">DataInput[[#This Row],[Week Start]]+6</f>
        <v>46242</v>
      </c>
      <c r="C19" s="14" t="s">
        <v>136</v>
      </c>
      <c r="D19" s="15" t="n">
        <v>0.604166666666667</v>
      </c>
      <c r="E19" s="14" t="n">
        <v>267</v>
      </c>
      <c r="F19" s="14" t="n">
        <v>293</v>
      </c>
      <c r="G19" s="14" t="n">
        <v>257</v>
      </c>
      <c r="H19" s="14" t="n">
        <v>36</v>
      </c>
      <c r="I19" s="16" t="n">
        <v>0.122866894197952</v>
      </c>
      <c r="J19" s="14" t="n">
        <v>28</v>
      </c>
      <c r="K19" s="16" t="n">
        <v>0.0955631399317406</v>
      </c>
      <c r="L19" s="17" t="n">
        <v>1.69306095979248</v>
      </c>
      <c r="M19" s="18" t="n">
        <v>449.425855513308</v>
      </c>
      <c r="N19" s="17" t="n">
        <v>81.5</v>
      </c>
      <c r="O19" s="17" t="n">
        <v>67.33</v>
      </c>
      <c r="P19" s="17" t="n">
        <v>66.3422222222222</v>
      </c>
      <c r="Q19" s="14"/>
      <c r="R19" s="14"/>
      <c r="S19" s="19" t="str">
        <f aca="false">IF(L19&gt;2,COUNTIF($L$6:L19,"&gt;2"),"")</f>
        <v/>
      </c>
    </row>
    <row r="20" customFormat="false" ht="15" hidden="false" customHeight="true" outlineLevel="0" collapsed="false">
      <c r="A20" s="13" t="n">
        <v>46236</v>
      </c>
      <c r="B20" s="13" t="n">
        <f aca="false">DataInput[[#This Row],[Week Start]]+6</f>
        <v>46242</v>
      </c>
      <c r="C20" s="14" t="s">
        <v>136</v>
      </c>
      <c r="D20" s="15" t="n">
        <v>0.625</v>
      </c>
      <c r="E20" s="14" t="n">
        <v>415</v>
      </c>
      <c r="F20" s="14" t="n">
        <v>356</v>
      </c>
      <c r="G20" s="14" t="n">
        <v>302</v>
      </c>
      <c r="H20" s="14" t="n">
        <v>54</v>
      </c>
      <c r="I20" s="16" t="n">
        <v>0.151685393258427</v>
      </c>
      <c r="J20" s="14" t="n">
        <v>49</v>
      </c>
      <c r="K20" s="16" t="n">
        <v>0.137640449438202</v>
      </c>
      <c r="L20" s="17" t="n">
        <v>4.24977924944812</v>
      </c>
      <c r="M20" s="18" t="n">
        <v>493.448051948052</v>
      </c>
      <c r="N20" s="17" t="n">
        <v>128.5</v>
      </c>
      <c r="O20" s="17" t="n">
        <v>87.665</v>
      </c>
      <c r="P20" s="17" t="n">
        <v>84.5716666666667</v>
      </c>
      <c r="Q20" s="14"/>
      <c r="R20" s="14"/>
      <c r="S20" s="19" t="n">
        <f aca="false">IF(L20&gt;2,COUNTIF($L$6:L20,"&gt;2"),"")</f>
        <v>9</v>
      </c>
    </row>
    <row r="21" customFormat="false" ht="15" hidden="false" customHeight="true" outlineLevel="0" collapsed="false">
      <c r="A21" s="13" t="n">
        <v>46236</v>
      </c>
      <c r="B21" s="13" t="n">
        <f aca="false">DataInput[[#This Row],[Week Start]]+6</f>
        <v>46242</v>
      </c>
      <c r="C21" s="14" t="s">
        <v>136</v>
      </c>
      <c r="D21" s="15" t="n">
        <v>0.645833333333333</v>
      </c>
      <c r="E21" s="14" t="n">
        <v>290</v>
      </c>
      <c r="F21" s="14" t="n">
        <v>330</v>
      </c>
      <c r="G21" s="14" t="n">
        <v>287</v>
      </c>
      <c r="H21" s="14" t="n">
        <v>43</v>
      </c>
      <c r="I21" s="16" t="n">
        <v>0.13030303030303</v>
      </c>
      <c r="J21" s="14" t="n">
        <v>34</v>
      </c>
      <c r="K21" s="16" t="n">
        <v>0.103030303030303</v>
      </c>
      <c r="L21" s="17" t="n">
        <v>4.25929152148664</v>
      </c>
      <c r="M21" s="18" t="n">
        <v>463.023411371237</v>
      </c>
      <c r="N21" s="17" t="n">
        <v>91.5</v>
      </c>
      <c r="O21" s="17" t="n">
        <v>94.165</v>
      </c>
      <c r="P21" s="17" t="n">
        <v>90.3744444444444</v>
      </c>
      <c r="Q21" s="14"/>
      <c r="R21" s="14"/>
      <c r="S21" s="19" t="n">
        <f aca="false">IF(L21&gt;2,COUNTIF($L$6:L21,"&gt;2"),"")</f>
        <v>10</v>
      </c>
    </row>
    <row r="22" customFormat="false" ht="15" hidden="false" customHeight="true" outlineLevel="0" collapsed="false">
      <c r="A22" s="13" t="n">
        <v>46236</v>
      </c>
      <c r="B22" s="13" t="n">
        <f aca="false">DataInput[[#This Row],[Week Start]]+6</f>
        <v>46242</v>
      </c>
      <c r="C22" s="14" t="s">
        <v>136</v>
      </c>
      <c r="D22" s="15" t="n">
        <v>0.666666666666667</v>
      </c>
      <c r="E22" s="14" t="n">
        <v>291</v>
      </c>
      <c r="F22" s="14" t="n">
        <v>380</v>
      </c>
      <c r="G22" s="14" t="n">
        <v>323</v>
      </c>
      <c r="H22" s="14" t="n">
        <v>57</v>
      </c>
      <c r="I22" s="16" t="n">
        <v>0.15</v>
      </c>
      <c r="J22" s="14" t="n">
        <v>44</v>
      </c>
      <c r="K22" s="16" t="n">
        <v>0.115789473684211</v>
      </c>
      <c r="L22" s="17" t="n">
        <v>2.95196078431373</v>
      </c>
      <c r="M22" s="18" t="n">
        <v>464.640483383686</v>
      </c>
      <c r="N22" s="17" t="n">
        <v>101</v>
      </c>
      <c r="O22" s="17" t="n">
        <v>89.5</v>
      </c>
      <c r="P22" s="17" t="n">
        <v>88.0533333333333</v>
      </c>
      <c r="Q22" s="14"/>
      <c r="R22" s="14"/>
      <c r="S22" s="19" t="n">
        <f aca="false">IF(L22&gt;2,COUNTIF($L$6:L22,"&gt;2"),"")</f>
        <v>11</v>
      </c>
    </row>
    <row r="23" customFormat="false" ht="15" hidden="false" customHeight="true" outlineLevel="0" collapsed="false">
      <c r="A23" s="13" t="n">
        <v>46236</v>
      </c>
      <c r="B23" s="13" t="n">
        <f aca="false">DataInput[[#This Row],[Week Start]]+6</f>
        <v>46242</v>
      </c>
      <c r="C23" s="14" t="s">
        <v>136</v>
      </c>
      <c r="D23" s="15" t="n">
        <v>0.6875</v>
      </c>
      <c r="E23" s="14" t="n">
        <v>269</v>
      </c>
      <c r="F23" s="14" t="n">
        <v>332</v>
      </c>
      <c r="G23" s="14" t="n">
        <v>310</v>
      </c>
      <c r="H23" s="14" t="n">
        <v>22</v>
      </c>
      <c r="I23" s="16" t="n">
        <v>0.0662650602409639</v>
      </c>
      <c r="J23" s="14" t="n">
        <v>12</v>
      </c>
      <c r="K23" s="16" t="n">
        <v>0.036144578313253</v>
      </c>
      <c r="L23" s="17" t="n">
        <v>2.32586021505376</v>
      </c>
      <c r="M23" s="18" t="n">
        <v>461.933753943218</v>
      </c>
      <c r="N23" s="17" t="n">
        <v>86</v>
      </c>
      <c r="O23" s="17" t="n">
        <v>95.835</v>
      </c>
      <c r="P23" s="17" t="n">
        <v>93.7744444444444</v>
      </c>
      <c r="Q23" s="14"/>
      <c r="R23" s="14"/>
      <c r="S23" s="19" t="n">
        <f aca="false">IF(L23&gt;2,COUNTIF($L$6:L23,"&gt;2"),"")</f>
        <v>12</v>
      </c>
    </row>
    <row r="24" customFormat="false" ht="15" hidden="true" customHeight="true" outlineLevel="0" collapsed="false">
      <c r="A24" s="13" t="n">
        <v>46236</v>
      </c>
      <c r="B24" s="13" t="n">
        <f aca="false">DataInput[[#This Row],[Week Start]]+6</f>
        <v>46242</v>
      </c>
      <c r="C24" s="14" t="s">
        <v>136</v>
      </c>
      <c r="D24" s="15" t="n">
        <v>0.708333333333333</v>
      </c>
      <c r="E24" s="14" t="n">
        <v>262</v>
      </c>
      <c r="F24" s="14" t="n">
        <v>321</v>
      </c>
      <c r="G24" s="14" t="n">
        <v>286</v>
      </c>
      <c r="H24" s="14" t="n">
        <v>35</v>
      </c>
      <c r="I24" s="16" t="n">
        <v>0.109034267912773</v>
      </c>
      <c r="J24" s="14" t="n">
        <v>20</v>
      </c>
      <c r="K24" s="16" t="n">
        <v>0.0623052959501558</v>
      </c>
      <c r="L24" s="17" t="n">
        <v>1.55728438228438</v>
      </c>
      <c r="M24" s="18" t="n">
        <v>457.461538461539</v>
      </c>
      <c r="N24" s="17" t="n">
        <v>78</v>
      </c>
      <c r="O24" s="17" t="n">
        <v>77.5</v>
      </c>
      <c r="P24" s="17" t="n">
        <v>77.4738888888889</v>
      </c>
      <c r="Q24" s="14"/>
      <c r="R24" s="14"/>
      <c r="S24" s="19" t="str">
        <f aca="false">IF(L24&gt;2,COUNTIF($L$6:L24,"&gt;2"),"")</f>
        <v/>
      </c>
    </row>
    <row r="25" customFormat="false" ht="15" hidden="true" customHeight="true" outlineLevel="0" collapsed="false">
      <c r="A25" s="13" t="n">
        <v>46236</v>
      </c>
      <c r="B25" s="13" t="n">
        <f aca="false">DataInput[[#This Row],[Week Start]]+6</f>
        <v>46242</v>
      </c>
      <c r="C25" s="14" t="s">
        <v>136</v>
      </c>
      <c r="D25" s="15" t="n">
        <v>0.729166666666667</v>
      </c>
      <c r="E25" s="14" t="n">
        <v>225</v>
      </c>
      <c r="F25" s="14" t="n">
        <v>270</v>
      </c>
      <c r="G25" s="14" t="n">
        <v>250</v>
      </c>
      <c r="H25" s="14" t="n">
        <v>20</v>
      </c>
      <c r="I25" s="16" t="n">
        <v>0.0740740740740741</v>
      </c>
      <c r="J25" s="14" t="n">
        <v>10</v>
      </c>
      <c r="K25" s="16" t="n">
        <v>0.037037037037037</v>
      </c>
      <c r="L25" s="17" t="n">
        <v>1.56413333333333</v>
      </c>
      <c r="M25" s="18" t="n">
        <v>450.305882352941</v>
      </c>
      <c r="N25" s="17" t="n">
        <v>71.5</v>
      </c>
      <c r="O25" s="17" t="n">
        <v>69</v>
      </c>
      <c r="P25" s="17" t="n">
        <v>66.9361111111111</v>
      </c>
      <c r="Q25" s="14"/>
      <c r="R25" s="14"/>
      <c r="S25" s="19" t="str">
        <f aca="false">IF(L25&gt;2,COUNTIF($L$6:L25,"&gt;2"),"")</f>
        <v/>
      </c>
    </row>
    <row r="26" customFormat="false" ht="15" hidden="false" customHeight="true" outlineLevel="0" collapsed="false">
      <c r="A26" s="13" t="n">
        <v>46236</v>
      </c>
      <c r="B26" s="13" t="n">
        <f aca="false">DataInput[[#This Row],[Week Start]]+6</f>
        <v>46242</v>
      </c>
      <c r="C26" s="14" t="s">
        <v>136</v>
      </c>
      <c r="D26" s="15" t="n">
        <v>0.75</v>
      </c>
      <c r="E26" s="14" t="n">
        <v>191</v>
      </c>
      <c r="F26" s="14" t="n">
        <v>232</v>
      </c>
      <c r="G26" s="14" t="n">
        <v>179</v>
      </c>
      <c r="H26" s="14" t="n">
        <v>53</v>
      </c>
      <c r="I26" s="16" t="n">
        <v>0.228448275862069</v>
      </c>
      <c r="J26" s="14" t="n">
        <v>47</v>
      </c>
      <c r="K26" s="16" t="n">
        <v>0.202586206896552</v>
      </c>
      <c r="L26" s="17" t="n">
        <v>3.30093109869646</v>
      </c>
      <c r="M26" s="18" t="n">
        <v>496.617486338798</v>
      </c>
      <c r="N26" s="17" t="n">
        <v>62.5</v>
      </c>
      <c r="O26" s="17" t="n">
        <v>39</v>
      </c>
      <c r="P26" s="17" t="n">
        <v>39.4338888888889</v>
      </c>
      <c r="Q26" s="14"/>
      <c r="R26" s="14"/>
      <c r="S26" s="19" t="n">
        <f aca="false">IF(L26&gt;2,COUNTIF($L$6:L26,"&gt;2"),"")</f>
        <v>13</v>
      </c>
    </row>
    <row r="27" customFormat="false" ht="15" hidden="false" customHeight="true" outlineLevel="0" collapsed="false">
      <c r="A27" s="13" t="n">
        <v>46236</v>
      </c>
      <c r="B27" s="13" t="n">
        <f aca="false">DataInput[[#This Row],[Week Start]]+6</f>
        <v>46242</v>
      </c>
      <c r="C27" s="14" t="s">
        <v>136</v>
      </c>
      <c r="D27" s="15" t="n">
        <v>0.770833333333333</v>
      </c>
      <c r="E27" s="14" t="n">
        <v>151</v>
      </c>
      <c r="F27" s="14" t="n">
        <v>172</v>
      </c>
      <c r="G27" s="14" t="n">
        <v>138</v>
      </c>
      <c r="H27" s="14" t="n">
        <v>34</v>
      </c>
      <c r="I27" s="16" t="n">
        <v>0.197674418604651</v>
      </c>
      <c r="J27" s="14" t="n">
        <v>30</v>
      </c>
      <c r="K27" s="16" t="n">
        <v>0.174418604651163</v>
      </c>
      <c r="L27" s="17" t="n">
        <v>4.84770531400966</v>
      </c>
      <c r="M27" s="18" t="n">
        <v>465.178082191781</v>
      </c>
      <c r="N27" s="17" t="n">
        <v>51.5</v>
      </c>
      <c r="O27" s="17" t="n">
        <v>39</v>
      </c>
      <c r="P27" s="17" t="n">
        <v>38.1072222222222</v>
      </c>
      <c r="Q27" s="14"/>
      <c r="R27" s="14"/>
      <c r="S27" s="19" t="n">
        <f aca="false">IF(L27&gt;2,COUNTIF($L$6:L27,"&gt;2"),"")</f>
        <v>14</v>
      </c>
    </row>
    <row r="28" customFormat="false" ht="15" hidden="false" customHeight="true" outlineLevel="0" collapsed="false">
      <c r="A28" s="13" t="n">
        <v>46236</v>
      </c>
      <c r="B28" s="13" t="n">
        <f aca="false">DataInput[[#This Row],[Week Start]]+6</f>
        <v>46242</v>
      </c>
      <c r="C28" s="14" t="s">
        <v>136</v>
      </c>
      <c r="D28" s="15" t="n">
        <v>0.791666666666667</v>
      </c>
      <c r="E28" s="14" t="n">
        <v>53</v>
      </c>
      <c r="F28" s="14" t="n">
        <v>66</v>
      </c>
      <c r="G28" s="14" t="n">
        <v>56</v>
      </c>
      <c r="H28" s="14" t="n">
        <v>10</v>
      </c>
      <c r="I28" s="16" t="n">
        <v>0.151515151515152</v>
      </c>
      <c r="J28" s="14" t="n">
        <v>10</v>
      </c>
      <c r="K28" s="16" t="n">
        <v>0.151515151515152</v>
      </c>
      <c r="L28" s="17" t="n">
        <v>5.02113095238095</v>
      </c>
      <c r="M28" s="18" t="n">
        <v>551.409836065574</v>
      </c>
      <c r="N28" s="17" t="n">
        <v>18.5</v>
      </c>
      <c r="O28" s="17" t="n">
        <v>2.5</v>
      </c>
      <c r="P28" s="17" t="n">
        <v>8.19833333333333</v>
      </c>
      <c r="Q28" s="14"/>
      <c r="R28" s="14"/>
      <c r="S28" s="19" t="n">
        <f aca="false">IF(L28&gt;2,COUNTIF($L$6:L28,"&gt;2"),"")</f>
        <v>15</v>
      </c>
    </row>
    <row r="29" customFormat="false" ht="15" hidden="false" customHeight="true" outlineLevel="0" collapsed="false">
      <c r="A29" s="13" t="n">
        <v>46236</v>
      </c>
      <c r="B29" s="13" t="n">
        <f aca="false">DataInput[[#This Row],[Week Start]]+6</f>
        <v>46242</v>
      </c>
      <c r="C29" s="14" t="s">
        <v>136</v>
      </c>
      <c r="D29" s="15" t="n">
        <v>0.8125</v>
      </c>
      <c r="E29" s="14" t="n">
        <v>2</v>
      </c>
      <c r="F29" s="14" t="n">
        <v>4</v>
      </c>
      <c r="G29" s="14" t="n">
        <v>4</v>
      </c>
      <c r="H29" s="14" t="n">
        <v>0</v>
      </c>
      <c r="I29" s="16" t="n">
        <v>0</v>
      </c>
      <c r="J29" s="14" t="n">
        <v>0</v>
      </c>
      <c r="K29" s="16" t="n">
        <v>0</v>
      </c>
      <c r="L29" s="17" t="n">
        <v>6.25</v>
      </c>
      <c r="M29" s="18" t="n">
        <v>354.8</v>
      </c>
      <c r="N29" s="17" t="n">
        <v>0</v>
      </c>
      <c r="O29" s="17" t="n">
        <v>0</v>
      </c>
      <c r="P29" s="17" t="n">
        <v>0</v>
      </c>
      <c r="Q29" s="14"/>
      <c r="R29" s="14"/>
      <c r="S29" s="19" t="n">
        <f aca="false">IF(L29&gt;2,COUNTIF($L$6:L29,"&gt;2"),"")</f>
        <v>16</v>
      </c>
    </row>
    <row r="30" customFormat="false" ht="15" hidden="true" customHeight="true" outlineLevel="0" collapsed="false">
      <c r="A30" s="13" t="n">
        <v>46236</v>
      </c>
      <c r="B30" s="13" t="n">
        <f aca="false">DataInput[[#This Row],[Week Start]]+6</f>
        <v>46242</v>
      </c>
      <c r="C30" s="14" t="s">
        <v>137</v>
      </c>
      <c r="D30" s="15" t="n">
        <v>0.333333333333333</v>
      </c>
      <c r="E30" s="14" t="n">
        <v>101</v>
      </c>
      <c r="F30" s="14" t="n">
        <v>97</v>
      </c>
      <c r="G30" s="14" t="n">
        <v>95</v>
      </c>
      <c r="H30" s="14" t="n">
        <v>2</v>
      </c>
      <c r="I30" s="16" t="n">
        <v>0.0206185567010309</v>
      </c>
      <c r="J30" s="14" t="n">
        <v>0</v>
      </c>
      <c r="K30" s="16" t="n">
        <v>0</v>
      </c>
      <c r="L30" s="17" t="n">
        <v>0.161052631578947</v>
      </c>
      <c r="M30" s="18" t="n">
        <v>353.082474226804</v>
      </c>
      <c r="N30" s="17" t="n">
        <v>27.5</v>
      </c>
      <c r="O30" s="17" t="n">
        <v>54.83</v>
      </c>
      <c r="P30" s="17" t="n">
        <v>53.5016666666667</v>
      </c>
      <c r="Q30" s="14"/>
      <c r="R30" s="14"/>
      <c r="S30" s="19" t="str">
        <f aca="false">IF(L30&gt;2,COUNTIF($L$6:L30,"&gt;2"),"")</f>
        <v/>
      </c>
    </row>
    <row r="31" customFormat="false" ht="15" hidden="true" customHeight="true" outlineLevel="0" collapsed="false">
      <c r="A31" s="13" t="n">
        <v>46236</v>
      </c>
      <c r="B31" s="13" t="n">
        <f aca="false">DataInput[[#This Row],[Week Start]]+6</f>
        <v>46242</v>
      </c>
      <c r="C31" s="14" t="s">
        <v>137</v>
      </c>
      <c r="D31" s="15" t="n">
        <v>0.354166666666667</v>
      </c>
      <c r="E31" s="14" t="n">
        <v>152</v>
      </c>
      <c r="F31" s="14" t="n">
        <v>138</v>
      </c>
      <c r="G31" s="14" t="n">
        <v>137</v>
      </c>
      <c r="H31" s="14" t="n">
        <v>1</v>
      </c>
      <c r="I31" s="16" t="n">
        <v>0.0072463768115942</v>
      </c>
      <c r="J31" s="14" t="n">
        <v>0</v>
      </c>
      <c r="K31" s="16" t="n">
        <v>0</v>
      </c>
      <c r="L31" s="17" t="n">
        <v>0.164233576642336</v>
      </c>
      <c r="M31" s="18" t="n">
        <v>496.661870503597</v>
      </c>
      <c r="N31" s="17" t="n">
        <v>48.5</v>
      </c>
      <c r="O31" s="17" t="n">
        <v>61.335</v>
      </c>
      <c r="P31" s="17" t="n">
        <v>60.8683333333333</v>
      </c>
      <c r="Q31" s="14"/>
      <c r="R31" s="14"/>
      <c r="S31" s="19" t="str">
        <f aca="false">IF(L31&gt;2,COUNTIF($L$6:L31,"&gt;2"),"")</f>
        <v/>
      </c>
    </row>
    <row r="32" customFormat="false" ht="15" hidden="true" customHeight="true" outlineLevel="0" collapsed="false">
      <c r="A32" s="13" t="n">
        <v>46236</v>
      </c>
      <c r="B32" s="13" t="n">
        <f aca="false">DataInput[[#This Row],[Week Start]]+6</f>
        <v>46242</v>
      </c>
      <c r="C32" s="14" t="s">
        <v>137</v>
      </c>
      <c r="D32" s="15" t="n">
        <v>0.375</v>
      </c>
      <c r="E32" s="14" t="n">
        <v>171</v>
      </c>
      <c r="F32" s="14" t="n">
        <v>159</v>
      </c>
      <c r="G32" s="14" t="n">
        <v>155</v>
      </c>
      <c r="H32" s="14" t="n">
        <v>4</v>
      </c>
      <c r="I32" s="16" t="n">
        <v>0.0251572327044025</v>
      </c>
      <c r="J32" s="14" t="n">
        <v>0</v>
      </c>
      <c r="K32" s="16" t="n">
        <v>0</v>
      </c>
      <c r="L32" s="17" t="n">
        <v>0.102688172043011</v>
      </c>
      <c r="M32" s="18" t="n">
        <v>406.490683229814</v>
      </c>
      <c r="N32" s="17" t="n">
        <v>56</v>
      </c>
      <c r="O32" s="17" t="n">
        <v>72.665</v>
      </c>
      <c r="P32" s="17" t="n">
        <v>71.5611111111111</v>
      </c>
      <c r="Q32" s="14"/>
      <c r="R32" s="14"/>
      <c r="S32" s="19" t="str">
        <f aca="false">IF(L32&gt;2,COUNTIF($L$6:L32,"&gt;2"),"")</f>
        <v/>
      </c>
    </row>
    <row r="33" customFormat="false" ht="15" hidden="true" customHeight="true" outlineLevel="0" collapsed="false">
      <c r="A33" s="13" t="n">
        <v>46236</v>
      </c>
      <c r="B33" s="13" t="n">
        <f aca="false">DataInput[[#This Row],[Week Start]]+6</f>
        <v>46242</v>
      </c>
      <c r="C33" s="14" t="s">
        <v>137</v>
      </c>
      <c r="D33" s="15" t="n">
        <v>0.395833333333333</v>
      </c>
      <c r="E33" s="14" t="n">
        <v>185</v>
      </c>
      <c r="F33" s="14" t="n">
        <v>177</v>
      </c>
      <c r="G33" s="14" t="n">
        <v>174</v>
      </c>
      <c r="H33" s="14" t="n">
        <v>3</v>
      </c>
      <c r="I33" s="16" t="n">
        <v>0.0169491525423729</v>
      </c>
      <c r="J33" s="14" t="n">
        <v>0</v>
      </c>
      <c r="K33" s="16" t="n">
        <v>0</v>
      </c>
      <c r="L33" s="17" t="n">
        <v>0.103831417624521</v>
      </c>
      <c r="M33" s="18" t="n">
        <v>449.863636363636</v>
      </c>
      <c r="N33" s="17" t="n">
        <v>60</v>
      </c>
      <c r="O33" s="17" t="n">
        <v>67.835</v>
      </c>
      <c r="P33" s="17" t="n">
        <v>69.0677777777778</v>
      </c>
      <c r="Q33" s="14"/>
      <c r="R33" s="14"/>
      <c r="S33" s="19" t="str">
        <f aca="false">IF(L33&gt;2,COUNTIF($L$6:L33,"&gt;2"),"")</f>
        <v/>
      </c>
    </row>
    <row r="34" customFormat="false" ht="15" hidden="true" customHeight="true" outlineLevel="0" collapsed="false">
      <c r="A34" s="13" t="n">
        <v>46236</v>
      </c>
      <c r="B34" s="13" t="n">
        <f aca="false">DataInput[[#This Row],[Week Start]]+6</f>
        <v>46242</v>
      </c>
      <c r="C34" s="14" t="s">
        <v>137</v>
      </c>
      <c r="D34" s="15" t="n">
        <v>0.416666666666667</v>
      </c>
      <c r="E34" s="14" t="n">
        <v>263</v>
      </c>
      <c r="F34" s="14" t="n">
        <v>185</v>
      </c>
      <c r="G34" s="14" t="n">
        <v>182</v>
      </c>
      <c r="H34" s="14" t="n">
        <v>3</v>
      </c>
      <c r="I34" s="16" t="n">
        <v>0.0162162162162162</v>
      </c>
      <c r="J34" s="14" t="n">
        <v>0</v>
      </c>
      <c r="K34" s="16" t="n">
        <v>0</v>
      </c>
      <c r="L34" s="17" t="n">
        <v>0.105586080586081</v>
      </c>
      <c r="M34" s="18" t="n">
        <v>371.317708333333</v>
      </c>
      <c r="N34" s="17" t="n">
        <v>73.5</v>
      </c>
      <c r="O34" s="17" t="n">
        <v>84.335</v>
      </c>
      <c r="P34" s="17" t="n">
        <v>80.5183333333334</v>
      </c>
      <c r="Q34" s="14"/>
      <c r="R34" s="14"/>
      <c r="S34" s="19" t="str">
        <f aca="false">IF(L34&gt;2,COUNTIF($L$6:L34,"&gt;2"),"")</f>
        <v/>
      </c>
    </row>
    <row r="35" customFormat="false" ht="15" hidden="true" customHeight="true" outlineLevel="0" collapsed="false">
      <c r="A35" s="13" t="n">
        <v>46236</v>
      </c>
      <c r="B35" s="13" t="n">
        <f aca="false">DataInput[[#This Row],[Week Start]]+6</f>
        <v>46242</v>
      </c>
      <c r="C35" s="14" t="s">
        <v>137</v>
      </c>
      <c r="D35" s="15" t="n">
        <v>0.4375</v>
      </c>
      <c r="E35" s="14" t="n">
        <v>288</v>
      </c>
      <c r="F35" s="14" t="n">
        <v>259</v>
      </c>
      <c r="G35" s="14" t="n">
        <v>249</v>
      </c>
      <c r="H35" s="14" t="n">
        <v>10</v>
      </c>
      <c r="I35" s="16" t="n">
        <v>0.0386100386100386</v>
      </c>
      <c r="J35" s="14" t="n">
        <v>1</v>
      </c>
      <c r="K35" s="16" t="n">
        <v>0.00386100386100386</v>
      </c>
      <c r="L35" s="17" t="n">
        <v>0.372690763052209</v>
      </c>
      <c r="M35" s="18" t="n">
        <v>431.763565891473</v>
      </c>
      <c r="N35" s="17" t="n">
        <v>78</v>
      </c>
      <c r="O35" s="17" t="n">
        <v>77.5</v>
      </c>
      <c r="P35" s="17" t="n">
        <v>76.7683333333333</v>
      </c>
      <c r="Q35" s="14"/>
      <c r="R35" s="14"/>
      <c r="S35" s="19" t="str">
        <f aca="false">IF(L35&gt;2,COUNTIF($L$6:L35,"&gt;2"),"")</f>
        <v/>
      </c>
    </row>
    <row r="36" customFormat="false" ht="15" hidden="true" customHeight="true" outlineLevel="0" collapsed="false">
      <c r="A36" s="13" t="n">
        <v>46236</v>
      </c>
      <c r="B36" s="13" t="n">
        <f aca="false">DataInput[[#This Row],[Week Start]]+6</f>
        <v>46242</v>
      </c>
      <c r="C36" s="14" t="s">
        <v>137</v>
      </c>
      <c r="D36" s="15" t="n">
        <v>0.458333333333333</v>
      </c>
      <c r="E36" s="14" t="n">
        <v>259</v>
      </c>
      <c r="F36" s="14" t="n">
        <v>198</v>
      </c>
      <c r="G36" s="14" t="n">
        <v>193</v>
      </c>
      <c r="H36" s="14" t="n">
        <v>5</v>
      </c>
      <c r="I36" s="16" t="n">
        <v>0.0252525252525253</v>
      </c>
      <c r="J36" s="14" t="n">
        <v>0</v>
      </c>
      <c r="K36" s="16" t="n">
        <v>0</v>
      </c>
      <c r="L36" s="17" t="n">
        <v>0.122193436960276</v>
      </c>
      <c r="M36" s="18" t="n">
        <v>441.68</v>
      </c>
      <c r="N36" s="17" t="n">
        <v>76</v>
      </c>
      <c r="O36" s="17" t="n">
        <v>83.5</v>
      </c>
      <c r="P36" s="17" t="n">
        <v>77.7922222222222</v>
      </c>
      <c r="Q36" s="14"/>
      <c r="R36" s="14"/>
      <c r="S36" s="19" t="str">
        <f aca="false">IF(L36&gt;2,COUNTIF($L$6:L36,"&gt;2"),"")</f>
        <v/>
      </c>
    </row>
    <row r="37" customFormat="false" ht="15" hidden="true" customHeight="true" outlineLevel="0" collapsed="false">
      <c r="A37" s="13" t="n">
        <v>46236</v>
      </c>
      <c r="B37" s="13" t="n">
        <f aca="false">DataInput[[#This Row],[Week Start]]+6</f>
        <v>46242</v>
      </c>
      <c r="C37" s="14" t="s">
        <v>137</v>
      </c>
      <c r="D37" s="15" t="n">
        <v>0.479166666666667</v>
      </c>
      <c r="E37" s="14" t="n">
        <v>249</v>
      </c>
      <c r="F37" s="14" t="n">
        <v>209</v>
      </c>
      <c r="G37" s="14" t="n">
        <v>207</v>
      </c>
      <c r="H37" s="14" t="n">
        <v>2</v>
      </c>
      <c r="I37" s="16" t="n">
        <v>0.00956937799043062</v>
      </c>
      <c r="J37" s="14" t="n">
        <v>0</v>
      </c>
      <c r="K37" s="16" t="n">
        <v>0</v>
      </c>
      <c r="L37" s="17" t="n">
        <v>0.103623188405797</v>
      </c>
      <c r="M37" s="18" t="n">
        <v>378.669811320755</v>
      </c>
      <c r="N37" s="17" t="n">
        <v>75.5</v>
      </c>
      <c r="O37" s="17" t="n">
        <v>75.5</v>
      </c>
      <c r="P37" s="17" t="n">
        <v>76.9233333333333</v>
      </c>
      <c r="Q37" s="14"/>
      <c r="R37" s="14"/>
      <c r="S37" s="19" t="str">
        <f aca="false">IF(L37&gt;2,COUNTIF($L$6:L37,"&gt;2"),"")</f>
        <v/>
      </c>
    </row>
    <row r="38" customFormat="false" ht="15" hidden="true" customHeight="true" outlineLevel="0" collapsed="false">
      <c r="A38" s="13" t="n">
        <v>46236</v>
      </c>
      <c r="B38" s="13" t="n">
        <f aca="false">DataInput[[#This Row],[Week Start]]+6</f>
        <v>46242</v>
      </c>
      <c r="C38" s="14" t="s">
        <v>137</v>
      </c>
      <c r="D38" s="15" t="n">
        <v>0.5</v>
      </c>
      <c r="E38" s="14" t="n">
        <v>236</v>
      </c>
      <c r="F38" s="14" t="n">
        <v>197</v>
      </c>
      <c r="G38" s="14" t="n">
        <v>194</v>
      </c>
      <c r="H38" s="14" t="n">
        <v>3</v>
      </c>
      <c r="I38" s="16" t="n">
        <v>0.0152284263959391</v>
      </c>
      <c r="J38" s="14" t="n">
        <v>0</v>
      </c>
      <c r="K38" s="16" t="n">
        <v>0</v>
      </c>
      <c r="L38" s="17" t="n">
        <v>0.103092783505155</v>
      </c>
      <c r="M38" s="18" t="n">
        <v>413.980099502488</v>
      </c>
      <c r="N38" s="17" t="n">
        <v>72</v>
      </c>
      <c r="O38" s="17" t="n">
        <v>71.835</v>
      </c>
      <c r="P38" s="17" t="n">
        <v>74.9105555555556</v>
      </c>
      <c r="Q38" s="14"/>
      <c r="R38" s="14"/>
      <c r="S38" s="19" t="str">
        <f aca="false">IF(L38&gt;2,COUNTIF($L$6:L38,"&gt;2"),"")</f>
        <v/>
      </c>
    </row>
    <row r="39" customFormat="false" ht="15" hidden="true" customHeight="true" outlineLevel="0" collapsed="false">
      <c r="A39" s="13" t="n">
        <v>46236</v>
      </c>
      <c r="B39" s="13" t="n">
        <f aca="false">DataInput[[#This Row],[Week Start]]+6</f>
        <v>46242</v>
      </c>
      <c r="C39" s="14" t="s">
        <v>137</v>
      </c>
      <c r="D39" s="15" t="n">
        <v>0.520833333333333</v>
      </c>
      <c r="E39" s="14" t="n">
        <v>250</v>
      </c>
      <c r="F39" s="14" t="n">
        <v>191</v>
      </c>
      <c r="G39" s="14" t="n">
        <v>190</v>
      </c>
      <c r="H39" s="14" t="n">
        <v>1</v>
      </c>
      <c r="I39" s="16" t="n">
        <v>0.00523560209424084</v>
      </c>
      <c r="J39" s="14" t="n">
        <v>0</v>
      </c>
      <c r="K39" s="16" t="n">
        <v>0</v>
      </c>
      <c r="L39" s="17" t="n">
        <v>0.142456140350877</v>
      </c>
      <c r="M39" s="18" t="n">
        <v>433.282828282828</v>
      </c>
      <c r="N39" s="17" t="n">
        <v>78</v>
      </c>
      <c r="O39" s="17" t="n">
        <v>74</v>
      </c>
      <c r="P39" s="17" t="n">
        <v>68.0094444444444</v>
      </c>
      <c r="Q39" s="14"/>
      <c r="R39" s="14"/>
      <c r="S39" s="19" t="str">
        <f aca="false">IF(L39&gt;2,COUNTIF($L$6:L39,"&gt;2"),"")</f>
        <v/>
      </c>
    </row>
    <row r="40" customFormat="false" ht="15" hidden="true" customHeight="true" outlineLevel="0" collapsed="false">
      <c r="A40" s="13" t="n">
        <v>46236</v>
      </c>
      <c r="B40" s="13" t="n">
        <f aca="false">DataInput[[#This Row],[Week Start]]+6</f>
        <v>46242</v>
      </c>
      <c r="C40" s="14" t="s">
        <v>137</v>
      </c>
      <c r="D40" s="15" t="n">
        <v>0.541666666666667</v>
      </c>
      <c r="E40" s="14" t="n">
        <v>262</v>
      </c>
      <c r="F40" s="14" t="n">
        <v>195</v>
      </c>
      <c r="G40" s="14" t="n">
        <v>195</v>
      </c>
      <c r="H40" s="14" t="n">
        <v>0</v>
      </c>
      <c r="I40" s="16" t="n">
        <v>0</v>
      </c>
      <c r="J40" s="14" t="n">
        <v>0</v>
      </c>
      <c r="K40" s="16" t="n">
        <v>0</v>
      </c>
      <c r="L40" s="17" t="n">
        <v>0.14042735042735</v>
      </c>
      <c r="M40" s="18" t="n">
        <v>434.635</v>
      </c>
      <c r="N40" s="17" t="n">
        <v>78.5</v>
      </c>
      <c r="O40" s="17" t="n">
        <v>75</v>
      </c>
      <c r="P40" s="17" t="n">
        <v>70.8811111111111</v>
      </c>
      <c r="Q40" s="14"/>
      <c r="R40" s="14"/>
      <c r="S40" s="19" t="str">
        <f aca="false">IF(L40&gt;2,COUNTIF($L$6:L40,"&gt;2"),"")</f>
        <v/>
      </c>
    </row>
    <row r="41" customFormat="false" ht="15" hidden="true" customHeight="true" outlineLevel="0" collapsed="false">
      <c r="A41" s="13" t="n">
        <v>46236</v>
      </c>
      <c r="B41" s="13" t="n">
        <f aca="false">DataInput[[#This Row],[Week Start]]+6</f>
        <v>46242</v>
      </c>
      <c r="C41" s="14" t="s">
        <v>137</v>
      </c>
      <c r="D41" s="15" t="n">
        <v>0.5625</v>
      </c>
      <c r="E41" s="14" t="n">
        <v>255</v>
      </c>
      <c r="F41" s="14" t="n">
        <v>223</v>
      </c>
      <c r="G41" s="14" t="n">
        <v>218</v>
      </c>
      <c r="H41" s="14" t="n">
        <v>5</v>
      </c>
      <c r="I41" s="16" t="n">
        <v>0.0224215246636771</v>
      </c>
      <c r="J41" s="14" t="n">
        <v>0</v>
      </c>
      <c r="K41" s="16" t="n">
        <v>0</v>
      </c>
      <c r="L41" s="17" t="n">
        <v>0.127522935779817</v>
      </c>
      <c r="M41" s="18" t="n">
        <v>426.769230769231</v>
      </c>
      <c r="N41" s="17" t="n">
        <v>84.5</v>
      </c>
      <c r="O41" s="17" t="n">
        <v>74.665</v>
      </c>
      <c r="P41" s="17" t="n">
        <v>73.6472222222222</v>
      </c>
      <c r="Q41" s="14"/>
      <c r="R41" s="14"/>
      <c r="S41" s="19" t="str">
        <f aca="false">IF(L41&gt;2,COUNTIF($L$6:L41,"&gt;2"),"")</f>
        <v/>
      </c>
    </row>
    <row r="42" customFormat="false" ht="15" hidden="true" customHeight="true" outlineLevel="0" collapsed="false">
      <c r="A42" s="13" t="n">
        <v>46236</v>
      </c>
      <c r="B42" s="13" t="n">
        <f aca="false">DataInput[[#This Row],[Week Start]]+6</f>
        <v>46242</v>
      </c>
      <c r="C42" s="14" t="s">
        <v>137</v>
      </c>
      <c r="D42" s="15" t="n">
        <v>0.583333333333333</v>
      </c>
      <c r="E42" s="14" t="n">
        <v>258</v>
      </c>
      <c r="F42" s="14" t="n">
        <v>219</v>
      </c>
      <c r="G42" s="14" t="n">
        <v>192</v>
      </c>
      <c r="H42" s="14" t="n">
        <v>27</v>
      </c>
      <c r="I42" s="16" t="n">
        <v>0.123287671232877</v>
      </c>
      <c r="J42" s="14" t="n">
        <v>20</v>
      </c>
      <c r="K42" s="16" t="n">
        <v>0.091324200913242</v>
      </c>
      <c r="L42" s="17" t="n">
        <v>1.23706597222222</v>
      </c>
      <c r="M42" s="18" t="n">
        <v>463.036269430052</v>
      </c>
      <c r="N42" s="17" t="n">
        <v>84</v>
      </c>
      <c r="O42" s="17" t="n">
        <v>52.5</v>
      </c>
      <c r="P42" s="17" t="n">
        <v>50.4261111111111</v>
      </c>
      <c r="Q42" s="14"/>
      <c r="R42" s="14"/>
      <c r="S42" s="19" t="str">
        <f aca="false">IF(L42&gt;2,COUNTIF($L$6:L42,"&gt;2"),"")</f>
        <v/>
      </c>
    </row>
    <row r="43" customFormat="false" ht="15" hidden="false" customHeight="true" outlineLevel="0" collapsed="false">
      <c r="A43" s="13" t="n">
        <v>46236</v>
      </c>
      <c r="B43" s="13" t="n">
        <f aca="false">DataInput[[#This Row],[Week Start]]+6</f>
        <v>46242</v>
      </c>
      <c r="C43" s="14" t="s">
        <v>137</v>
      </c>
      <c r="D43" s="15" t="n">
        <v>0.604166666666667</v>
      </c>
      <c r="E43" s="14" t="n">
        <v>251</v>
      </c>
      <c r="F43" s="14" t="n">
        <v>206</v>
      </c>
      <c r="G43" s="14" t="n">
        <v>187</v>
      </c>
      <c r="H43" s="14" t="n">
        <v>19</v>
      </c>
      <c r="I43" s="16" t="n">
        <v>0.0922330097087379</v>
      </c>
      <c r="J43" s="14" t="n">
        <v>13</v>
      </c>
      <c r="K43" s="16" t="n">
        <v>0.0631067961165049</v>
      </c>
      <c r="L43" s="17" t="n">
        <v>2.38707664884136</v>
      </c>
      <c r="M43" s="18" t="n">
        <v>453.300518134715</v>
      </c>
      <c r="N43" s="17" t="n">
        <v>82.5</v>
      </c>
      <c r="O43" s="17" t="n">
        <v>55.5</v>
      </c>
      <c r="P43" s="17" t="n">
        <v>55.2516666666667</v>
      </c>
      <c r="Q43" s="14"/>
      <c r="R43" s="14"/>
      <c r="S43" s="19" t="n">
        <f aca="false">IF(L43&gt;2,COUNTIF($L$6:L43,"&gt;2"),"")</f>
        <v>17</v>
      </c>
    </row>
    <row r="44" customFormat="false" ht="15" hidden="true" customHeight="true" outlineLevel="0" collapsed="false">
      <c r="A44" s="13" t="n">
        <v>46236</v>
      </c>
      <c r="B44" s="13" t="n">
        <f aca="false">DataInput[[#This Row],[Week Start]]+6</f>
        <v>46242</v>
      </c>
      <c r="C44" s="14" t="s">
        <v>137</v>
      </c>
      <c r="D44" s="15" t="n">
        <v>0.625</v>
      </c>
      <c r="E44" s="14" t="n">
        <v>227</v>
      </c>
      <c r="F44" s="14" t="n">
        <v>184</v>
      </c>
      <c r="G44" s="14" t="n">
        <v>181</v>
      </c>
      <c r="H44" s="14" t="n">
        <v>3</v>
      </c>
      <c r="I44" s="16" t="n">
        <v>0.016304347826087</v>
      </c>
      <c r="J44" s="14" t="n">
        <v>1</v>
      </c>
      <c r="K44" s="16" t="n">
        <v>0.00543478260869565</v>
      </c>
      <c r="L44" s="17" t="n">
        <v>0.635082872928177</v>
      </c>
      <c r="M44" s="18" t="n">
        <v>488.726315789474</v>
      </c>
      <c r="N44" s="17" t="n">
        <v>73.5</v>
      </c>
      <c r="O44" s="17" t="n">
        <v>70</v>
      </c>
      <c r="P44" s="17" t="n">
        <v>65.5855555555556</v>
      </c>
      <c r="Q44" s="14"/>
      <c r="R44" s="14"/>
      <c r="S44" s="19" t="str">
        <f aca="false">IF(L44&gt;2,COUNTIF($L$6:L44,"&gt;2"),"")</f>
        <v/>
      </c>
    </row>
    <row r="45" customFormat="false" ht="15" hidden="true" customHeight="true" outlineLevel="0" collapsed="false">
      <c r="A45" s="13" t="n">
        <v>46236</v>
      </c>
      <c r="B45" s="13" t="n">
        <f aca="false">DataInput[[#This Row],[Week Start]]+6</f>
        <v>46242</v>
      </c>
      <c r="C45" s="14" t="s">
        <v>137</v>
      </c>
      <c r="D45" s="15" t="n">
        <v>0.645833333333333</v>
      </c>
      <c r="E45" s="14" t="n">
        <v>225</v>
      </c>
      <c r="F45" s="14" t="n">
        <v>223</v>
      </c>
      <c r="G45" s="14" t="n">
        <v>218</v>
      </c>
      <c r="H45" s="14" t="n">
        <v>5</v>
      </c>
      <c r="I45" s="16" t="n">
        <v>0.0224215246636771</v>
      </c>
      <c r="J45" s="14" t="n">
        <v>0</v>
      </c>
      <c r="K45" s="16" t="n">
        <v>0</v>
      </c>
      <c r="L45" s="17" t="n">
        <v>0.295948012232416</v>
      </c>
      <c r="M45" s="18" t="n">
        <v>448.76</v>
      </c>
      <c r="N45" s="17" t="n">
        <v>77.5</v>
      </c>
      <c r="O45" s="17" t="n">
        <v>73</v>
      </c>
      <c r="P45" s="17" t="n">
        <v>70.2027777777778</v>
      </c>
      <c r="Q45" s="14"/>
      <c r="R45" s="14"/>
      <c r="S45" s="19" t="str">
        <f aca="false">IF(L45&gt;2,COUNTIF($L$6:L45,"&gt;2"),"")</f>
        <v/>
      </c>
    </row>
    <row r="46" customFormat="false" ht="15" hidden="true" customHeight="true" outlineLevel="0" collapsed="false">
      <c r="A46" s="13" t="n">
        <v>46236</v>
      </c>
      <c r="B46" s="13" t="n">
        <f aca="false">DataInput[[#This Row],[Week Start]]+6</f>
        <v>46242</v>
      </c>
      <c r="C46" s="14" t="s">
        <v>137</v>
      </c>
      <c r="D46" s="15" t="n">
        <v>0.666666666666667</v>
      </c>
      <c r="E46" s="14" t="n">
        <v>225</v>
      </c>
      <c r="F46" s="14" t="n">
        <v>222</v>
      </c>
      <c r="G46" s="14" t="n">
        <v>212</v>
      </c>
      <c r="H46" s="14" t="n">
        <v>10</v>
      </c>
      <c r="I46" s="16" t="n">
        <v>0.045045045045045</v>
      </c>
      <c r="J46" s="14" t="n">
        <v>3</v>
      </c>
      <c r="K46" s="16" t="n">
        <v>0.0135135135135135</v>
      </c>
      <c r="L46" s="17" t="n">
        <v>0.268789308176101</v>
      </c>
      <c r="M46" s="18" t="n">
        <v>451.51376146789</v>
      </c>
      <c r="N46" s="17" t="n">
        <v>71.5</v>
      </c>
      <c r="O46" s="17" t="n">
        <v>69.165</v>
      </c>
      <c r="P46" s="17" t="n">
        <v>69.5677777777778</v>
      </c>
      <c r="Q46" s="14"/>
      <c r="R46" s="14"/>
      <c r="S46" s="19" t="str">
        <f aca="false">IF(L46&gt;2,COUNTIF($L$6:L46,"&gt;2"),"")</f>
        <v/>
      </c>
    </row>
    <row r="47" customFormat="false" ht="15" hidden="true" customHeight="true" outlineLevel="0" collapsed="false">
      <c r="A47" s="13" t="n">
        <v>46236</v>
      </c>
      <c r="B47" s="13" t="n">
        <f aca="false">DataInput[[#This Row],[Week Start]]+6</f>
        <v>46242</v>
      </c>
      <c r="C47" s="14" t="s">
        <v>137</v>
      </c>
      <c r="D47" s="15" t="n">
        <v>0.6875</v>
      </c>
      <c r="E47" s="14" t="n">
        <v>240</v>
      </c>
      <c r="F47" s="14" t="n">
        <v>204</v>
      </c>
      <c r="G47" s="14" t="n">
        <v>194</v>
      </c>
      <c r="H47" s="14" t="n">
        <v>10</v>
      </c>
      <c r="I47" s="16" t="n">
        <v>0.0490196078431373</v>
      </c>
      <c r="J47" s="14" t="n">
        <v>0</v>
      </c>
      <c r="K47" s="16" t="n">
        <v>0</v>
      </c>
      <c r="L47" s="17" t="n">
        <v>0.160910652920962</v>
      </c>
      <c r="M47" s="18" t="n">
        <v>460.809045226131</v>
      </c>
      <c r="N47" s="17" t="n">
        <v>82</v>
      </c>
      <c r="O47" s="17" t="n">
        <v>85</v>
      </c>
      <c r="P47" s="17" t="n">
        <v>81.0105555555556</v>
      </c>
      <c r="Q47" s="14"/>
      <c r="R47" s="14"/>
      <c r="S47" s="19" t="str">
        <f aca="false">IF(L47&gt;2,COUNTIF($L$6:L47,"&gt;2"),"")</f>
        <v/>
      </c>
    </row>
    <row r="48" customFormat="false" ht="15" hidden="true" customHeight="true" outlineLevel="0" collapsed="false">
      <c r="A48" s="13" t="n">
        <v>46236</v>
      </c>
      <c r="B48" s="13" t="n">
        <f aca="false">DataInput[[#This Row],[Week Start]]+6</f>
        <v>46242</v>
      </c>
      <c r="C48" s="14" t="s">
        <v>137</v>
      </c>
      <c r="D48" s="15" t="n">
        <v>0.708333333333333</v>
      </c>
      <c r="E48" s="14" t="n">
        <v>217</v>
      </c>
      <c r="F48" s="14" t="n">
        <v>190</v>
      </c>
      <c r="G48" s="14" t="n">
        <v>186</v>
      </c>
      <c r="H48" s="14" t="n">
        <v>4</v>
      </c>
      <c r="I48" s="16" t="n">
        <v>0.0210526315789474</v>
      </c>
      <c r="J48" s="14" t="n">
        <v>0</v>
      </c>
      <c r="K48" s="16" t="n">
        <v>0</v>
      </c>
      <c r="L48" s="17" t="n">
        <v>0.11173835125448</v>
      </c>
      <c r="M48" s="18" t="n">
        <v>456.335051546392</v>
      </c>
      <c r="N48" s="17" t="n">
        <v>65</v>
      </c>
      <c r="O48" s="17" t="n">
        <v>55.835</v>
      </c>
      <c r="P48" s="17" t="n">
        <v>61.2166666666667</v>
      </c>
      <c r="Q48" s="14"/>
      <c r="R48" s="14"/>
      <c r="S48" s="19" t="str">
        <f aca="false">IF(L48&gt;2,COUNTIF($L$6:L48,"&gt;2"),"")</f>
        <v/>
      </c>
    </row>
    <row r="49" customFormat="false" ht="15" hidden="true" customHeight="true" outlineLevel="0" collapsed="false">
      <c r="A49" s="13" t="n">
        <v>46236</v>
      </c>
      <c r="B49" s="13" t="n">
        <f aca="false">DataInput[[#This Row],[Week Start]]+6</f>
        <v>46242</v>
      </c>
      <c r="C49" s="14" t="s">
        <v>137</v>
      </c>
      <c r="D49" s="15" t="n">
        <v>0.729166666666667</v>
      </c>
      <c r="E49" s="14" t="n">
        <v>167</v>
      </c>
      <c r="F49" s="14" t="n">
        <v>159</v>
      </c>
      <c r="G49" s="14" t="n">
        <v>155</v>
      </c>
      <c r="H49" s="14" t="n">
        <v>4</v>
      </c>
      <c r="I49" s="16" t="n">
        <v>0.0251572327044025</v>
      </c>
      <c r="J49" s="14" t="n">
        <v>0</v>
      </c>
      <c r="K49" s="16" t="n">
        <v>0</v>
      </c>
      <c r="L49" s="17" t="n">
        <v>0.236666666666667</v>
      </c>
      <c r="M49" s="18" t="n">
        <v>476.707006369427</v>
      </c>
      <c r="N49" s="17" t="n">
        <v>53</v>
      </c>
      <c r="O49" s="17" t="n">
        <v>53.5</v>
      </c>
      <c r="P49" s="17" t="n">
        <v>50.3338888888889</v>
      </c>
      <c r="Q49" s="14"/>
      <c r="R49" s="14"/>
      <c r="S49" s="19" t="str">
        <f aca="false">IF(L49&gt;2,COUNTIF($L$6:L49,"&gt;2"),"")</f>
        <v/>
      </c>
    </row>
    <row r="50" customFormat="false" ht="15" hidden="true" customHeight="true" outlineLevel="0" collapsed="false">
      <c r="A50" s="13" t="n">
        <v>46236</v>
      </c>
      <c r="B50" s="13" t="n">
        <f aca="false">DataInput[[#This Row],[Week Start]]+6</f>
        <v>46242</v>
      </c>
      <c r="C50" s="14" t="s">
        <v>137</v>
      </c>
      <c r="D50" s="15" t="n">
        <v>0.75</v>
      </c>
      <c r="E50" s="14" t="n">
        <v>152</v>
      </c>
      <c r="F50" s="14" t="n">
        <v>128</v>
      </c>
      <c r="G50" s="14" t="n">
        <v>125</v>
      </c>
      <c r="H50" s="14" t="n">
        <v>3</v>
      </c>
      <c r="I50" s="16" t="n">
        <v>0.0234375</v>
      </c>
      <c r="J50" s="14" t="n">
        <v>0</v>
      </c>
      <c r="K50" s="16" t="n">
        <v>0</v>
      </c>
      <c r="L50" s="17" t="n">
        <v>0.1376</v>
      </c>
      <c r="M50" s="18" t="n">
        <v>473.915384615385</v>
      </c>
      <c r="N50" s="17" t="n">
        <v>50</v>
      </c>
      <c r="O50" s="17" t="n">
        <v>38</v>
      </c>
      <c r="P50" s="17" t="n">
        <v>37.6961111111111</v>
      </c>
      <c r="Q50" s="14"/>
      <c r="R50" s="14"/>
      <c r="S50" s="19" t="str">
        <f aca="false">IF(L50&gt;2,COUNTIF($L$6:L50,"&gt;2"),"")</f>
        <v/>
      </c>
    </row>
    <row r="51" customFormat="false" ht="15" hidden="true" customHeight="true" outlineLevel="0" collapsed="false">
      <c r="A51" s="13" t="n">
        <v>46236</v>
      </c>
      <c r="B51" s="13" t="n">
        <f aca="false">DataInput[[#This Row],[Week Start]]+6</f>
        <v>46242</v>
      </c>
      <c r="C51" s="14" t="s">
        <v>137</v>
      </c>
      <c r="D51" s="15" t="n">
        <v>0.770833333333333</v>
      </c>
      <c r="E51" s="14" t="n">
        <v>131</v>
      </c>
      <c r="F51" s="14" t="n">
        <v>137</v>
      </c>
      <c r="G51" s="14" t="n">
        <v>132</v>
      </c>
      <c r="H51" s="14" t="n">
        <v>5</v>
      </c>
      <c r="I51" s="16" t="n">
        <v>0.0364963503649635</v>
      </c>
      <c r="J51" s="14" t="n">
        <v>4</v>
      </c>
      <c r="K51" s="16" t="n">
        <v>0.0291970802919708</v>
      </c>
      <c r="L51" s="17" t="n">
        <v>0.883459595959596</v>
      </c>
      <c r="M51" s="18" t="n">
        <v>454.817518248175</v>
      </c>
      <c r="N51" s="17" t="n">
        <v>45</v>
      </c>
      <c r="O51" s="17" t="n">
        <v>38</v>
      </c>
      <c r="P51" s="17" t="n">
        <v>36.9583333333333</v>
      </c>
      <c r="Q51" s="14"/>
      <c r="R51" s="14"/>
      <c r="S51" s="19" t="str">
        <f aca="false">IF(L51&gt;2,COUNTIF($L$6:L51,"&gt;2"),"")</f>
        <v/>
      </c>
    </row>
    <row r="52" customFormat="false" ht="15" hidden="true" customHeight="true" outlineLevel="0" collapsed="false">
      <c r="A52" s="13" t="n">
        <v>46236</v>
      </c>
      <c r="B52" s="13" t="n">
        <f aca="false">DataInput[[#This Row],[Week Start]]+6</f>
        <v>46242</v>
      </c>
      <c r="C52" s="14" t="s">
        <v>137</v>
      </c>
      <c r="D52" s="15" t="n">
        <v>0.791666666666667</v>
      </c>
      <c r="E52" s="14" t="n">
        <v>40</v>
      </c>
      <c r="F52" s="14" t="n">
        <v>37</v>
      </c>
      <c r="G52" s="14" t="n">
        <v>37</v>
      </c>
      <c r="H52" s="14" t="n">
        <v>0</v>
      </c>
      <c r="I52" s="16" t="n">
        <v>0</v>
      </c>
      <c r="J52" s="14" t="n">
        <v>0</v>
      </c>
      <c r="K52" s="16" t="n">
        <v>0</v>
      </c>
      <c r="L52" s="17" t="n">
        <v>1.10495495495496</v>
      </c>
      <c r="M52" s="18" t="n">
        <v>577.547619047619</v>
      </c>
      <c r="N52" s="17" t="n">
        <v>19</v>
      </c>
      <c r="O52" s="17" t="n">
        <v>2.5</v>
      </c>
      <c r="P52" s="17" t="n">
        <v>5.52055555555556</v>
      </c>
      <c r="Q52" s="14"/>
      <c r="R52" s="14"/>
      <c r="S52" s="19" t="str">
        <f aca="false">IF(L52&gt;2,COUNTIF($L$6:L52,"&gt;2"),"")</f>
        <v/>
      </c>
    </row>
    <row r="53" customFormat="false" ht="15" hidden="true" customHeight="true" outlineLevel="0" collapsed="false">
      <c r="A53" s="13" t="n">
        <v>46236</v>
      </c>
      <c r="B53" s="13" t="n">
        <f aca="false">DataInput[[#This Row],[Week Start]]+6</f>
        <v>46242</v>
      </c>
      <c r="C53" s="14" t="s">
        <v>137</v>
      </c>
      <c r="D53" s="15" t="n">
        <v>0.8125</v>
      </c>
      <c r="E53" s="14" t="n">
        <v>1</v>
      </c>
      <c r="F53" s="14" t="n">
        <v>2</v>
      </c>
      <c r="G53" s="14" t="n">
        <v>2</v>
      </c>
      <c r="H53" s="14" t="n">
        <v>0</v>
      </c>
      <c r="I53" s="16" t="n">
        <v>0</v>
      </c>
      <c r="J53" s="14" t="n">
        <v>0</v>
      </c>
      <c r="K53" s="16" t="n">
        <v>0</v>
      </c>
      <c r="L53" s="17" t="n">
        <v>0.4</v>
      </c>
      <c r="M53" s="18" t="n">
        <v>366</v>
      </c>
      <c r="N53" s="17" t="n">
        <v>1</v>
      </c>
      <c r="O53" s="17" t="n">
        <v>0</v>
      </c>
      <c r="P53" s="17" t="n">
        <v>0</v>
      </c>
      <c r="Q53" s="14"/>
      <c r="R53" s="14"/>
      <c r="S53" s="19" t="str">
        <f aca="false">IF(L53&gt;2,COUNTIF($L$6:L53,"&gt;2"),"")</f>
        <v/>
      </c>
    </row>
    <row r="54" customFormat="false" ht="15" hidden="true" customHeight="true" outlineLevel="0" collapsed="false">
      <c r="A54" s="13" t="n">
        <v>46236</v>
      </c>
      <c r="B54" s="13" t="n">
        <f aca="false">DataInput[[#This Row],[Week Start]]+6</f>
        <v>46242</v>
      </c>
      <c r="C54" s="14" t="s">
        <v>138</v>
      </c>
      <c r="D54" s="15" t="n">
        <v>0.333333333333333</v>
      </c>
      <c r="E54" s="14" t="n">
        <v>98</v>
      </c>
      <c r="F54" s="14" t="n">
        <v>94</v>
      </c>
      <c r="G54" s="14" t="n">
        <v>92</v>
      </c>
      <c r="H54" s="14" t="n">
        <v>2</v>
      </c>
      <c r="I54" s="16" t="n">
        <v>0.0212765957446809</v>
      </c>
      <c r="J54" s="14" t="n">
        <v>1</v>
      </c>
      <c r="K54" s="16" t="n">
        <v>0.0106382978723404</v>
      </c>
      <c r="L54" s="17" t="n">
        <v>0.586594202898551</v>
      </c>
      <c r="M54" s="18" t="n">
        <v>360.774193548387</v>
      </c>
      <c r="N54" s="17" t="n">
        <v>28</v>
      </c>
      <c r="O54" s="17" t="n">
        <v>43.665</v>
      </c>
      <c r="P54" s="17" t="n">
        <v>41.9633333333333</v>
      </c>
      <c r="Q54" s="14"/>
      <c r="R54" s="14"/>
      <c r="S54" s="19" t="str">
        <f aca="false">IF(L54&gt;2,COUNTIF($L$6:L54,"&gt;2"),"")</f>
        <v/>
      </c>
    </row>
    <row r="55" customFormat="false" ht="15" hidden="true" customHeight="true" outlineLevel="0" collapsed="false">
      <c r="A55" s="13" t="n">
        <v>46236</v>
      </c>
      <c r="B55" s="13" t="n">
        <f aca="false">DataInput[[#This Row],[Week Start]]+6</f>
        <v>46242</v>
      </c>
      <c r="C55" s="14" t="s">
        <v>138</v>
      </c>
      <c r="D55" s="15" t="n">
        <v>0.354166666666667</v>
      </c>
      <c r="E55" s="14" t="n">
        <v>142</v>
      </c>
      <c r="F55" s="14" t="n">
        <v>102</v>
      </c>
      <c r="G55" s="14" t="n">
        <v>102</v>
      </c>
      <c r="H55" s="14" t="n">
        <v>0</v>
      </c>
      <c r="I55" s="16" t="n">
        <v>0</v>
      </c>
      <c r="J55" s="14" t="n">
        <v>0</v>
      </c>
      <c r="K55" s="16" t="n">
        <v>0</v>
      </c>
      <c r="L55" s="17" t="n">
        <v>0.234313725490196</v>
      </c>
      <c r="M55" s="18" t="n">
        <v>423.5</v>
      </c>
      <c r="N55" s="17" t="n">
        <v>47</v>
      </c>
      <c r="O55" s="17" t="n">
        <v>51</v>
      </c>
      <c r="P55" s="17" t="n">
        <v>50.24</v>
      </c>
      <c r="Q55" s="14"/>
      <c r="R55" s="14"/>
      <c r="S55" s="19" t="str">
        <f aca="false">IF(L55&gt;2,COUNTIF($L$6:L55,"&gt;2"),"")</f>
        <v/>
      </c>
    </row>
    <row r="56" customFormat="false" ht="15" hidden="true" customHeight="true" outlineLevel="0" collapsed="false">
      <c r="A56" s="13" t="n">
        <v>46236</v>
      </c>
      <c r="B56" s="13" t="n">
        <f aca="false">DataInput[[#This Row],[Week Start]]+6</f>
        <v>46242</v>
      </c>
      <c r="C56" s="14" t="s">
        <v>138</v>
      </c>
      <c r="D56" s="15" t="n">
        <v>0.375</v>
      </c>
      <c r="E56" s="14" t="n">
        <v>151</v>
      </c>
      <c r="F56" s="14" t="n">
        <v>140</v>
      </c>
      <c r="G56" s="14" t="n">
        <v>138</v>
      </c>
      <c r="H56" s="14" t="n">
        <v>2</v>
      </c>
      <c r="I56" s="16" t="n">
        <v>0.0142857142857143</v>
      </c>
      <c r="J56" s="14" t="n">
        <v>0</v>
      </c>
      <c r="K56" s="16" t="n">
        <v>0</v>
      </c>
      <c r="L56" s="17" t="n">
        <v>0.224396135265701</v>
      </c>
      <c r="M56" s="18" t="n">
        <v>448.964539007092</v>
      </c>
      <c r="N56" s="17" t="n">
        <v>54.5</v>
      </c>
      <c r="O56" s="17" t="n">
        <v>53.835</v>
      </c>
      <c r="P56" s="17" t="n">
        <v>53.1511111111111</v>
      </c>
      <c r="Q56" s="14"/>
      <c r="R56" s="14"/>
      <c r="S56" s="19" t="str">
        <f aca="false">IF(L56&gt;2,COUNTIF($L$6:L56,"&gt;2"),"")</f>
        <v/>
      </c>
    </row>
    <row r="57" customFormat="false" ht="15" hidden="true" customHeight="true" outlineLevel="0" collapsed="false">
      <c r="A57" s="13" t="n">
        <v>46236</v>
      </c>
      <c r="B57" s="13" t="n">
        <f aca="false">DataInput[[#This Row],[Week Start]]+6</f>
        <v>46242</v>
      </c>
      <c r="C57" s="14" t="s">
        <v>138</v>
      </c>
      <c r="D57" s="15" t="n">
        <v>0.395833333333333</v>
      </c>
      <c r="E57" s="14" t="n">
        <v>185</v>
      </c>
      <c r="F57" s="14" t="n">
        <v>145</v>
      </c>
      <c r="G57" s="14" t="n">
        <v>134</v>
      </c>
      <c r="H57" s="14" t="n">
        <v>11</v>
      </c>
      <c r="I57" s="16" t="n">
        <v>0.0758620689655172</v>
      </c>
      <c r="J57" s="14" t="n">
        <v>11</v>
      </c>
      <c r="K57" s="16" t="n">
        <v>0.0758620689655172</v>
      </c>
      <c r="L57" s="17" t="n">
        <v>0.626616915422886</v>
      </c>
      <c r="M57" s="18" t="n">
        <v>421.786764705882</v>
      </c>
      <c r="N57" s="17" t="n">
        <v>64.5</v>
      </c>
      <c r="O57" s="17" t="n">
        <v>49</v>
      </c>
      <c r="P57" s="17" t="n">
        <v>50.0472222222222</v>
      </c>
      <c r="Q57" s="14"/>
      <c r="R57" s="14"/>
      <c r="S57" s="19" t="str">
        <f aca="false">IF(L57&gt;2,COUNTIF($L$6:L57,"&gt;2"),"")</f>
        <v/>
      </c>
    </row>
    <row r="58" customFormat="false" ht="15" hidden="false" customHeight="true" outlineLevel="0" collapsed="false">
      <c r="A58" s="13" t="n">
        <v>46236</v>
      </c>
      <c r="B58" s="13" t="n">
        <f aca="false">DataInput[[#This Row],[Week Start]]+6</f>
        <v>46242</v>
      </c>
      <c r="C58" s="14" t="s">
        <v>138</v>
      </c>
      <c r="D58" s="15" t="n">
        <v>0.416666666666667</v>
      </c>
      <c r="E58" s="14" t="n">
        <v>249</v>
      </c>
      <c r="F58" s="14" t="n">
        <v>221</v>
      </c>
      <c r="G58" s="14" t="n">
        <v>183</v>
      </c>
      <c r="H58" s="14" t="n">
        <v>38</v>
      </c>
      <c r="I58" s="16" t="n">
        <v>0.171945701357466</v>
      </c>
      <c r="J58" s="14" t="n">
        <v>36</v>
      </c>
      <c r="K58" s="16" t="n">
        <v>0.16289592760181</v>
      </c>
      <c r="L58" s="17" t="n">
        <v>3.25418943533698</v>
      </c>
      <c r="M58" s="18" t="n">
        <v>402.124324324324</v>
      </c>
      <c r="N58" s="17" t="n">
        <v>75</v>
      </c>
      <c r="O58" s="17" t="n">
        <v>65.67</v>
      </c>
      <c r="P58" s="17" t="n">
        <v>65.5222222222222</v>
      </c>
      <c r="Q58" s="14"/>
      <c r="R58" s="14"/>
      <c r="S58" s="19" t="n">
        <f aca="false">IF(L58&gt;2,COUNTIF($L$6:L58,"&gt;2"),"")</f>
        <v>18</v>
      </c>
    </row>
    <row r="59" customFormat="false" ht="15" hidden="false" customHeight="true" outlineLevel="0" collapsed="false">
      <c r="A59" s="13" t="n">
        <v>46236</v>
      </c>
      <c r="B59" s="13" t="n">
        <f aca="false">DataInput[[#This Row],[Week Start]]+6</f>
        <v>46242</v>
      </c>
      <c r="C59" s="14" t="s">
        <v>138</v>
      </c>
      <c r="D59" s="15" t="n">
        <v>0.4375</v>
      </c>
      <c r="E59" s="14" t="n">
        <v>282</v>
      </c>
      <c r="F59" s="14" t="n">
        <v>259</v>
      </c>
      <c r="G59" s="14" t="n">
        <v>231</v>
      </c>
      <c r="H59" s="14" t="n">
        <v>28</v>
      </c>
      <c r="I59" s="16" t="n">
        <v>0.108108108108108</v>
      </c>
      <c r="J59" s="14" t="n">
        <v>25</v>
      </c>
      <c r="K59" s="16" t="n">
        <v>0.0965250965250965</v>
      </c>
      <c r="L59" s="17" t="n">
        <v>3.68513708513709</v>
      </c>
      <c r="M59" s="18" t="n">
        <v>454.634042553192</v>
      </c>
      <c r="N59" s="17" t="n">
        <v>90</v>
      </c>
      <c r="O59" s="17" t="n">
        <v>65.5</v>
      </c>
      <c r="P59" s="17" t="n">
        <v>66.2877777777778</v>
      </c>
      <c r="Q59" s="14"/>
      <c r="R59" s="14"/>
      <c r="S59" s="19" t="n">
        <f aca="false">IF(L59&gt;2,COUNTIF($L$6:L59,"&gt;2"),"")</f>
        <v>19</v>
      </c>
    </row>
    <row r="60" customFormat="false" ht="15" hidden="false" customHeight="true" outlineLevel="0" collapsed="false">
      <c r="A60" s="13" t="n">
        <v>46236</v>
      </c>
      <c r="B60" s="13" t="n">
        <f aca="false">DataInput[[#This Row],[Week Start]]+6</f>
        <v>46242</v>
      </c>
      <c r="C60" s="14" t="s">
        <v>138</v>
      </c>
      <c r="D60" s="15" t="n">
        <v>0.458333333333333</v>
      </c>
      <c r="E60" s="14" t="n">
        <v>260</v>
      </c>
      <c r="F60" s="14" t="n">
        <v>271</v>
      </c>
      <c r="G60" s="14" t="n">
        <v>248</v>
      </c>
      <c r="H60" s="14" t="n">
        <v>23</v>
      </c>
      <c r="I60" s="16" t="n">
        <v>0.0848708487084871</v>
      </c>
      <c r="J60" s="14" t="n">
        <v>18</v>
      </c>
      <c r="K60" s="16" t="n">
        <v>0.0664206642066421</v>
      </c>
      <c r="L60" s="17" t="n">
        <v>2.4049059139785</v>
      </c>
      <c r="M60" s="18" t="n">
        <v>455.980158730159</v>
      </c>
      <c r="N60" s="17" t="n">
        <v>85</v>
      </c>
      <c r="O60" s="17" t="n">
        <v>76.335</v>
      </c>
      <c r="P60" s="17" t="n">
        <v>73.04</v>
      </c>
      <c r="Q60" s="14"/>
      <c r="R60" s="14"/>
      <c r="S60" s="19" t="n">
        <f aca="false">IF(L60&gt;2,COUNTIF($L$6:L60,"&gt;2"),"")</f>
        <v>20</v>
      </c>
    </row>
    <row r="61" customFormat="false" ht="15" hidden="true" customHeight="true" outlineLevel="0" collapsed="false">
      <c r="A61" s="13" t="n">
        <v>46236</v>
      </c>
      <c r="B61" s="13" t="n">
        <f aca="false">DataInput[[#This Row],[Week Start]]+6</f>
        <v>46242</v>
      </c>
      <c r="C61" s="14" t="s">
        <v>138</v>
      </c>
      <c r="D61" s="15" t="n">
        <v>0.479166666666667</v>
      </c>
      <c r="E61" s="14" t="n">
        <v>266</v>
      </c>
      <c r="F61" s="14" t="n">
        <v>302</v>
      </c>
      <c r="G61" s="14" t="n">
        <v>286</v>
      </c>
      <c r="H61" s="14" t="n">
        <v>16</v>
      </c>
      <c r="I61" s="16" t="n">
        <v>0.0529801324503311</v>
      </c>
      <c r="J61" s="14" t="n">
        <v>9</v>
      </c>
      <c r="K61" s="16" t="n">
        <v>0.0298013245033113</v>
      </c>
      <c r="L61" s="17" t="n">
        <v>1.07494172494173</v>
      </c>
      <c r="M61" s="18" t="n">
        <v>423.633561643836</v>
      </c>
      <c r="N61" s="17" t="n">
        <v>83</v>
      </c>
      <c r="O61" s="17" t="n">
        <v>74.5</v>
      </c>
      <c r="P61" s="17" t="n">
        <v>75.7777777777778</v>
      </c>
      <c r="Q61" s="14"/>
      <c r="R61" s="14"/>
      <c r="S61" s="19" t="str">
        <f aca="false">IF(L61&gt;2,COUNTIF($L$6:L61,"&gt;2"),"")</f>
        <v/>
      </c>
    </row>
    <row r="62" customFormat="false" ht="15" hidden="false" customHeight="true" outlineLevel="0" collapsed="false">
      <c r="A62" s="13" t="n">
        <v>46236</v>
      </c>
      <c r="B62" s="13" t="n">
        <f aca="false">DataInput[[#This Row],[Week Start]]+6</f>
        <v>46242</v>
      </c>
      <c r="C62" s="14" t="s">
        <v>138</v>
      </c>
      <c r="D62" s="15" t="n">
        <v>0.5</v>
      </c>
      <c r="E62" s="14" t="n">
        <v>230</v>
      </c>
      <c r="F62" s="14" t="n">
        <v>276</v>
      </c>
      <c r="G62" s="14" t="n">
        <v>242</v>
      </c>
      <c r="H62" s="14" t="n">
        <v>34</v>
      </c>
      <c r="I62" s="16" t="n">
        <v>0.123188405797102</v>
      </c>
      <c r="J62" s="14" t="n">
        <v>30</v>
      </c>
      <c r="K62" s="16" t="n">
        <v>0.108695652173913</v>
      </c>
      <c r="L62" s="17" t="n">
        <v>3.24579889807163</v>
      </c>
      <c r="M62" s="18" t="n">
        <v>444.767068273092</v>
      </c>
      <c r="N62" s="17" t="n">
        <v>79.5</v>
      </c>
      <c r="O62" s="17" t="n">
        <v>60.5</v>
      </c>
      <c r="P62" s="17" t="n">
        <v>61.6488888888889</v>
      </c>
      <c r="Q62" s="14"/>
      <c r="R62" s="14"/>
      <c r="S62" s="19" t="n">
        <f aca="false">IF(L62&gt;2,COUNTIF($L$6:L62,"&gt;2"),"")</f>
        <v>21</v>
      </c>
    </row>
    <row r="63" customFormat="false" ht="15" hidden="false" customHeight="true" outlineLevel="0" collapsed="false">
      <c r="A63" s="13" t="n">
        <v>46236</v>
      </c>
      <c r="B63" s="13" t="n">
        <f aca="false">DataInput[[#This Row],[Week Start]]+6</f>
        <v>46242</v>
      </c>
      <c r="C63" s="14" t="s">
        <v>138</v>
      </c>
      <c r="D63" s="15" t="n">
        <v>0.520833333333333</v>
      </c>
      <c r="E63" s="14" t="n">
        <v>229</v>
      </c>
      <c r="F63" s="14" t="n">
        <v>268</v>
      </c>
      <c r="G63" s="14" t="n">
        <v>207</v>
      </c>
      <c r="H63" s="14" t="n">
        <v>61</v>
      </c>
      <c r="I63" s="16" t="n">
        <v>0.227611940298508</v>
      </c>
      <c r="J63" s="14" t="n">
        <v>54</v>
      </c>
      <c r="K63" s="16" t="n">
        <v>0.201492537313433</v>
      </c>
      <c r="L63" s="17" t="n">
        <v>4.36296296296296</v>
      </c>
      <c r="M63" s="18" t="n">
        <v>436.467889908257</v>
      </c>
      <c r="N63" s="17" t="n">
        <v>74</v>
      </c>
      <c r="O63" s="17" t="n">
        <v>60.335</v>
      </c>
      <c r="P63" s="17" t="n">
        <v>56.2461111111111</v>
      </c>
      <c r="Q63" s="14"/>
      <c r="R63" s="14"/>
      <c r="S63" s="19" t="n">
        <f aca="false">IF(L63&gt;2,COUNTIF($L$6:L63,"&gt;2"),"")</f>
        <v>22</v>
      </c>
    </row>
    <row r="64" customFormat="false" ht="15" hidden="false" customHeight="true" outlineLevel="0" collapsed="false">
      <c r="A64" s="13" t="n">
        <v>46236</v>
      </c>
      <c r="B64" s="13" t="n">
        <f aca="false">DataInput[[#This Row],[Week Start]]+6</f>
        <v>46242</v>
      </c>
      <c r="C64" s="14" t="s">
        <v>138</v>
      </c>
      <c r="D64" s="15" t="n">
        <v>0.541666666666667</v>
      </c>
      <c r="E64" s="14" t="n">
        <v>229</v>
      </c>
      <c r="F64" s="14" t="n">
        <v>257</v>
      </c>
      <c r="G64" s="14" t="n">
        <v>217</v>
      </c>
      <c r="H64" s="14" t="n">
        <v>40</v>
      </c>
      <c r="I64" s="16" t="n">
        <v>0.155642023346304</v>
      </c>
      <c r="J64" s="14" t="n">
        <v>35</v>
      </c>
      <c r="K64" s="16" t="n">
        <v>0.136186770428016</v>
      </c>
      <c r="L64" s="17" t="n">
        <v>4.45890937019969</v>
      </c>
      <c r="M64" s="18" t="n">
        <v>407.85201793722</v>
      </c>
      <c r="N64" s="17" t="n">
        <v>71.5</v>
      </c>
      <c r="O64" s="17" t="n">
        <v>70.5</v>
      </c>
      <c r="P64" s="17" t="n">
        <v>64.7366666666667</v>
      </c>
      <c r="Q64" s="14"/>
      <c r="R64" s="14"/>
      <c r="S64" s="19" t="n">
        <f aca="false">IF(L64&gt;2,COUNTIF($L$6:L64,"&gt;2"),"")</f>
        <v>23</v>
      </c>
    </row>
    <row r="65" customFormat="false" ht="15" hidden="false" customHeight="true" outlineLevel="0" collapsed="false">
      <c r="A65" s="13" t="n">
        <v>46236</v>
      </c>
      <c r="B65" s="13" t="n">
        <f aca="false">DataInput[[#This Row],[Week Start]]+6</f>
        <v>46242</v>
      </c>
      <c r="C65" s="14" t="s">
        <v>138</v>
      </c>
      <c r="D65" s="15" t="n">
        <v>0.5625</v>
      </c>
      <c r="E65" s="14" t="n">
        <v>247</v>
      </c>
      <c r="F65" s="14" t="n">
        <v>302</v>
      </c>
      <c r="G65" s="14" t="n">
        <v>259</v>
      </c>
      <c r="H65" s="14" t="n">
        <v>43</v>
      </c>
      <c r="I65" s="16" t="n">
        <v>0.142384105960265</v>
      </c>
      <c r="J65" s="14" t="n">
        <v>37</v>
      </c>
      <c r="K65" s="16" t="n">
        <v>0.122516556291391</v>
      </c>
      <c r="L65" s="17" t="n">
        <v>4.00431145431145</v>
      </c>
      <c r="M65" s="18" t="n">
        <v>434.38202247191</v>
      </c>
      <c r="N65" s="17" t="n">
        <v>83.5</v>
      </c>
      <c r="O65" s="17" t="n">
        <v>70.83</v>
      </c>
      <c r="P65" s="17" t="n">
        <v>69.6616666666667</v>
      </c>
      <c r="Q65" s="14"/>
      <c r="R65" s="14"/>
      <c r="S65" s="19" t="n">
        <f aca="false">IF(L65&gt;2,COUNTIF($L$6:L65,"&gt;2"),"")</f>
        <v>24</v>
      </c>
    </row>
    <row r="66" customFormat="false" ht="15" hidden="false" customHeight="true" outlineLevel="0" collapsed="false">
      <c r="A66" s="13" t="n">
        <v>46236</v>
      </c>
      <c r="B66" s="13" t="n">
        <f aca="false">DataInput[[#This Row],[Week Start]]+6</f>
        <v>46242</v>
      </c>
      <c r="C66" s="14" t="s">
        <v>138</v>
      </c>
      <c r="D66" s="15" t="n">
        <v>0.583333333333333</v>
      </c>
      <c r="E66" s="14" t="n">
        <v>207</v>
      </c>
      <c r="F66" s="14" t="n">
        <v>251</v>
      </c>
      <c r="G66" s="14" t="n">
        <v>214</v>
      </c>
      <c r="H66" s="14" t="n">
        <v>37</v>
      </c>
      <c r="I66" s="16" t="n">
        <v>0.147410358565737</v>
      </c>
      <c r="J66" s="14" t="n">
        <v>33</v>
      </c>
      <c r="K66" s="16" t="n">
        <v>0.131474103585657</v>
      </c>
      <c r="L66" s="17" t="n">
        <v>4.40163551401869</v>
      </c>
      <c r="M66" s="18" t="n">
        <v>416.520179372197</v>
      </c>
      <c r="N66" s="17" t="n">
        <v>75.5</v>
      </c>
      <c r="O66" s="17" t="n">
        <v>48.835</v>
      </c>
      <c r="P66" s="17" t="n">
        <v>49.0038888888889</v>
      </c>
      <c r="Q66" s="14"/>
      <c r="R66" s="14"/>
      <c r="S66" s="19" t="n">
        <f aca="false">IF(L66&gt;2,COUNTIF($L$6:L66,"&gt;2"),"")</f>
        <v>25</v>
      </c>
    </row>
    <row r="67" customFormat="false" ht="15" hidden="false" customHeight="true" outlineLevel="0" collapsed="false">
      <c r="A67" s="13" t="n">
        <v>46236</v>
      </c>
      <c r="B67" s="13" t="n">
        <f aca="false">DataInput[[#This Row],[Week Start]]+6</f>
        <v>46242</v>
      </c>
      <c r="C67" s="14" t="s">
        <v>138</v>
      </c>
      <c r="D67" s="15" t="n">
        <v>0.604166666666667</v>
      </c>
      <c r="E67" s="14" t="n">
        <v>204</v>
      </c>
      <c r="F67" s="14" t="n">
        <v>240</v>
      </c>
      <c r="G67" s="14" t="n">
        <v>159</v>
      </c>
      <c r="H67" s="14" t="n">
        <v>81</v>
      </c>
      <c r="I67" s="16" t="n">
        <v>0.3375</v>
      </c>
      <c r="J67" s="14" t="n">
        <v>72</v>
      </c>
      <c r="K67" s="16" t="n">
        <v>0.3</v>
      </c>
      <c r="L67" s="17" t="n">
        <v>5.98637316561845</v>
      </c>
      <c r="M67" s="18" t="n">
        <v>463.560240963855</v>
      </c>
      <c r="N67" s="17" t="n">
        <v>68</v>
      </c>
      <c r="O67" s="17" t="n">
        <v>49.67</v>
      </c>
      <c r="P67" s="17" t="n">
        <v>45.3777777777778</v>
      </c>
      <c r="Q67" s="14"/>
      <c r="R67" s="14"/>
      <c r="S67" s="19" t="n">
        <f aca="false">IF(L67&gt;2,COUNTIF($L$6:L67,"&gt;2"),"")</f>
        <v>26</v>
      </c>
    </row>
    <row r="68" customFormat="false" ht="15" hidden="false" customHeight="true" outlineLevel="0" collapsed="false">
      <c r="A68" s="13" t="n">
        <v>46236</v>
      </c>
      <c r="B68" s="13" t="n">
        <f aca="false">DataInput[[#This Row],[Week Start]]+6</f>
        <v>46242</v>
      </c>
      <c r="C68" s="14" t="s">
        <v>138</v>
      </c>
      <c r="D68" s="15" t="n">
        <v>0.625</v>
      </c>
      <c r="E68" s="14" t="n">
        <v>207</v>
      </c>
      <c r="F68" s="14" t="n">
        <v>264</v>
      </c>
      <c r="G68" s="14" t="n">
        <v>214</v>
      </c>
      <c r="H68" s="14" t="n">
        <v>50</v>
      </c>
      <c r="I68" s="16" t="n">
        <v>0.189393939393939</v>
      </c>
      <c r="J68" s="14" t="n">
        <v>47</v>
      </c>
      <c r="K68" s="16" t="n">
        <v>0.178030303030303</v>
      </c>
      <c r="L68" s="17" t="n">
        <v>5.96471962616822</v>
      </c>
      <c r="M68" s="18" t="n">
        <v>441.334841628959</v>
      </c>
      <c r="N68" s="17" t="n">
        <v>71</v>
      </c>
      <c r="O68" s="17" t="n">
        <v>69.165</v>
      </c>
      <c r="P68" s="17" t="n">
        <v>63.7733333333333</v>
      </c>
      <c r="Q68" s="14"/>
      <c r="R68" s="14"/>
      <c r="S68" s="19" t="n">
        <f aca="false">IF(L68&gt;2,COUNTIF($L$6:L68,"&gt;2"),"")</f>
        <v>27</v>
      </c>
    </row>
    <row r="69" customFormat="false" ht="15" hidden="false" customHeight="true" outlineLevel="0" collapsed="false">
      <c r="A69" s="13" t="n">
        <v>46236</v>
      </c>
      <c r="B69" s="13" t="n">
        <f aca="false">DataInput[[#This Row],[Week Start]]+6</f>
        <v>46242</v>
      </c>
      <c r="C69" s="14" t="s">
        <v>138</v>
      </c>
      <c r="D69" s="15" t="n">
        <v>0.645833333333333</v>
      </c>
      <c r="E69" s="14" t="n">
        <v>216</v>
      </c>
      <c r="F69" s="14" t="n">
        <v>261</v>
      </c>
      <c r="G69" s="14" t="n">
        <v>241</v>
      </c>
      <c r="H69" s="14" t="n">
        <v>20</v>
      </c>
      <c r="I69" s="16" t="n">
        <v>0.0766283524904215</v>
      </c>
      <c r="J69" s="14" t="n">
        <v>12</v>
      </c>
      <c r="K69" s="16" t="n">
        <v>0.0459770114942529</v>
      </c>
      <c r="L69" s="17" t="n">
        <v>2.62178423236515</v>
      </c>
      <c r="M69" s="18" t="n">
        <v>477.288617886179</v>
      </c>
      <c r="N69" s="17" t="n">
        <v>65</v>
      </c>
      <c r="O69" s="17" t="n">
        <v>80.165</v>
      </c>
      <c r="P69" s="17" t="n">
        <v>77.7488888888889</v>
      </c>
      <c r="Q69" s="14"/>
      <c r="R69" s="14"/>
      <c r="S69" s="19" t="n">
        <f aca="false">IF(L69&gt;2,COUNTIF($L$6:L69,"&gt;2"),"")</f>
        <v>28</v>
      </c>
    </row>
    <row r="70" customFormat="false" ht="15" hidden="true" customHeight="true" outlineLevel="0" collapsed="false">
      <c r="A70" s="13" t="n">
        <v>46236</v>
      </c>
      <c r="B70" s="13" t="n">
        <f aca="false">DataInput[[#This Row],[Week Start]]+6</f>
        <v>46242</v>
      </c>
      <c r="C70" s="14" t="s">
        <v>138</v>
      </c>
      <c r="D70" s="15" t="n">
        <v>0.666666666666667</v>
      </c>
      <c r="E70" s="14" t="n">
        <v>209</v>
      </c>
      <c r="F70" s="14" t="n">
        <v>252</v>
      </c>
      <c r="G70" s="14" t="n">
        <v>245</v>
      </c>
      <c r="H70" s="14" t="n">
        <v>7</v>
      </c>
      <c r="I70" s="16" t="n">
        <v>0.0277777777777778</v>
      </c>
      <c r="J70" s="14" t="n">
        <v>0</v>
      </c>
      <c r="K70" s="16" t="n">
        <v>0</v>
      </c>
      <c r="L70" s="17" t="n">
        <v>0.608775510204082</v>
      </c>
      <c r="M70" s="18" t="n">
        <v>440.533864541833</v>
      </c>
      <c r="N70" s="17" t="n">
        <v>64</v>
      </c>
      <c r="O70" s="17" t="n">
        <v>69.5</v>
      </c>
      <c r="P70" s="17" t="n">
        <v>71.7688888888889</v>
      </c>
      <c r="Q70" s="14"/>
      <c r="R70" s="14"/>
      <c r="S70" s="19" t="str">
        <f aca="false">IF(L70&gt;2,COUNTIF($L$6:L70,"&gt;2"),"")</f>
        <v/>
      </c>
    </row>
    <row r="71" customFormat="false" ht="15" hidden="true" customHeight="true" outlineLevel="0" collapsed="false">
      <c r="A71" s="13" t="n">
        <v>46236</v>
      </c>
      <c r="B71" s="13" t="n">
        <f aca="false">DataInput[[#This Row],[Week Start]]+6</f>
        <v>46242</v>
      </c>
      <c r="C71" s="14" t="s">
        <v>138</v>
      </c>
      <c r="D71" s="15" t="n">
        <v>0.6875</v>
      </c>
      <c r="E71" s="14" t="n">
        <v>205</v>
      </c>
      <c r="F71" s="14" t="n">
        <v>216</v>
      </c>
      <c r="G71" s="14" t="n">
        <v>205</v>
      </c>
      <c r="H71" s="14" t="n">
        <v>11</v>
      </c>
      <c r="I71" s="16" t="n">
        <v>0.0509259259259259</v>
      </c>
      <c r="J71" s="14" t="n">
        <v>4</v>
      </c>
      <c r="K71" s="16" t="n">
        <v>0.0185185185185185</v>
      </c>
      <c r="L71" s="17" t="n">
        <v>0.395772357723577</v>
      </c>
      <c r="M71" s="18" t="n">
        <v>431.267942583732</v>
      </c>
      <c r="N71" s="17" t="n">
        <v>65</v>
      </c>
      <c r="O71" s="17" t="n">
        <v>73</v>
      </c>
      <c r="P71" s="17" t="n">
        <v>72.0388888888889</v>
      </c>
      <c r="Q71" s="14"/>
      <c r="R71" s="14"/>
      <c r="S71" s="19" t="str">
        <f aca="false">IF(L71&gt;2,COUNTIF($L$6:L71,"&gt;2"),"")</f>
        <v/>
      </c>
    </row>
    <row r="72" customFormat="false" ht="15" hidden="false" customHeight="true" outlineLevel="0" collapsed="false">
      <c r="A72" s="13" t="n">
        <v>46236</v>
      </c>
      <c r="B72" s="13" t="n">
        <f aca="false">DataInput[[#This Row],[Week Start]]+6</f>
        <v>46242</v>
      </c>
      <c r="C72" s="14" t="s">
        <v>138</v>
      </c>
      <c r="D72" s="15" t="n">
        <v>0.708333333333333</v>
      </c>
      <c r="E72" s="14" t="n">
        <v>182</v>
      </c>
      <c r="F72" s="14" t="n">
        <v>208</v>
      </c>
      <c r="G72" s="14" t="n">
        <v>162</v>
      </c>
      <c r="H72" s="14" t="n">
        <v>46</v>
      </c>
      <c r="I72" s="16" t="n">
        <v>0.221153846153846</v>
      </c>
      <c r="J72" s="14" t="n">
        <v>43</v>
      </c>
      <c r="K72" s="16" t="n">
        <v>0.206730769230769</v>
      </c>
      <c r="L72" s="17" t="n">
        <v>2.53528806584362</v>
      </c>
      <c r="M72" s="18" t="n">
        <v>467.701149425287</v>
      </c>
      <c r="N72" s="17" t="n">
        <v>60</v>
      </c>
      <c r="O72" s="17" t="n">
        <v>37</v>
      </c>
      <c r="P72" s="17" t="n">
        <v>39.8694444444445</v>
      </c>
      <c r="Q72" s="14"/>
      <c r="R72" s="14"/>
      <c r="S72" s="19" t="n">
        <f aca="false">IF(L72&gt;2,COUNTIF($L$6:L72,"&gt;2"),"")</f>
        <v>29</v>
      </c>
    </row>
    <row r="73" customFormat="false" ht="15" hidden="false" customHeight="true" outlineLevel="0" collapsed="false">
      <c r="A73" s="13" t="n">
        <v>46236</v>
      </c>
      <c r="B73" s="13" t="n">
        <f aca="false">DataInput[[#This Row],[Week Start]]+6</f>
        <v>46242</v>
      </c>
      <c r="C73" s="14" t="s">
        <v>138</v>
      </c>
      <c r="D73" s="15" t="n">
        <v>0.729166666666667</v>
      </c>
      <c r="E73" s="14" t="n">
        <v>170</v>
      </c>
      <c r="F73" s="14" t="n">
        <v>204</v>
      </c>
      <c r="G73" s="14" t="n">
        <v>113</v>
      </c>
      <c r="H73" s="14" t="n">
        <v>91</v>
      </c>
      <c r="I73" s="16" t="n">
        <v>0.446078431372549</v>
      </c>
      <c r="J73" s="14" t="n">
        <v>86</v>
      </c>
      <c r="K73" s="16" t="n">
        <v>0.42156862745098</v>
      </c>
      <c r="L73" s="17" t="n">
        <v>7.87566371681416</v>
      </c>
      <c r="M73" s="18" t="n">
        <v>440.894736842105</v>
      </c>
      <c r="N73" s="17" t="n">
        <v>56.5</v>
      </c>
      <c r="O73" s="17" t="n">
        <v>35.835</v>
      </c>
      <c r="P73" s="17" t="n">
        <v>32.7877777777778</v>
      </c>
      <c r="Q73" s="14"/>
      <c r="R73" s="14"/>
      <c r="S73" s="19" t="n">
        <f aca="false">IF(L73&gt;2,COUNTIF($L$6:L73,"&gt;2"),"")</f>
        <v>30</v>
      </c>
    </row>
    <row r="74" customFormat="false" ht="15" hidden="false" customHeight="true" outlineLevel="0" collapsed="false">
      <c r="A74" s="13" t="n">
        <v>46236</v>
      </c>
      <c r="B74" s="13" t="n">
        <f aca="false">DataInput[[#This Row],[Week Start]]+6</f>
        <v>46242</v>
      </c>
      <c r="C74" s="14" t="s">
        <v>138</v>
      </c>
      <c r="D74" s="15" t="n">
        <v>0.75</v>
      </c>
      <c r="E74" s="14" t="n">
        <v>152</v>
      </c>
      <c r="F74" s="14" t="n">
        <v>205</v>
      </c>
      <c r="G74" s="14" t="n">
        <v>122</v>
      </c>
      <c r="H74" s="14" t="n">
        <v>83</v>
      </c>
      <c r="I74" s="16" t="n">
        <v>0.404878048780488</v>
      </c>
      <c r="J74" s="14" t="n">
        <v>78</v>
      </c>
      <c r="K74" s="16" t="n">
        <v>0.380487804878049</v>
      </c>
      <c r="L74" s="17" t="n">
        <v>11.2543715846995</v>
      </c>
      <c r="M74" s="18" t="n">
        <v>483.2265625</v>
      </c>
      <c r="N74" s="17" t="n">
        <v>57</v>
      </c>
      <c r="O74" s="17" t="n">
        <v>34</v>
      </c>
      <c r="P74" s="17" t="n">
        <v>31.8188888888889</v>
      </c>
      <c r="Q74" s="14"/>
      <c r="R74" s="14"/>
      <c r="S74" s="19" t="n">
        <f aca="false">IF(L74&gt;2,COUNTIF($L$6:L74,"&gt;2"),"")</f>
        <v>31</v>
      </c>
    </row>
    <row r="75" customFormat="false" ht="15" hidden="false" customHeight="true" outlineLevel="0" collapsed="false">
      <c r="A75" s="13" t="n">
        <v>46236</v>
      </c>
      <c r="B75" s="13" t="n">
        <f aca="false">DataInput[[#This Row],[Week Start]]+6</f>
        <v>46242</v>
      </c>
      <c r="C75" s="14" t="s">
        <v>138</v>
      </c>
      <c r="D75" s="15" t="n">
        <v>0.770833333333333</v>
      </c>
      <c r="E75" s="14" t="n">
        <v>132</v>
      </c>
      <c r="F75" s="14" t="n">
        <v>167</v>
      </c>
      <c r="G75" s="14" t="n">
        <v>109</v>
      </c>
      <c r="H75" s="14" t="n">
        <v>58</v>
      </c>
      <c r="I75" s="16" t="n">
        <v>0.347305389221557</v>
      </c>
      <c r="J75" s="14" t="n">
        <v>57</v>
      </c>
      <c r="K75" s="16" t="n">
        <v>0.341317365269461</v>
      </c>
      <c r="L75" s="17" t="n">
        <v>8.45535168195719</v>
      </c>
      <c r="M75" s="18" t="n">
        <v>470.752212389381</v>
      </c>
      <c r="N75" s="17" t="n">
        <v>45.5</v>
      </c>
      <c r="O75" s="17" t="n">
        <v>34</v>
      </c>
      <c r="P75" s="17" t="n">
        <v>33.43</v>
      </c>
      <c r="Q75" s="14"/>
      <c r="R75" s="14"/>
      <c r="S75" s="19" t="n">
        <f aca="false">IF(L75&gt;2,COUNTIF($L$6:L75,"&gt;2"),"")</f>
        <v>32</v>
      </c>
    </row>
    <row r="76" customFormat="false" ht="15" hidden="false" customHeight="true" outlineLevel="0" collapsed="false">
      <c r="A76" s="13" t="n">
        <v>46236</v>
      </c>
      <c r="B76" s="13" t="n">
        <f aca="false">DataInput[[#This Row],[Week Start]]+6</f>
        <v>46242</v>
      </c>
      <c r="C76" s="14" t="s">
        <v>138</v>
      </c>
      <c r="D76" s="15" t="n">
        <v>0.791666666666667</v>
      </c>
      <c r="E76" s="14" t="n">
        <v>34</v>
      </c>
      <c r="F76" s="14" t="n">
        <v>51</v>
      </c>
      <c r="G76" s="14" t="n">
        <v>44</v>
      </c>
      <c r="H76" s="14" t="n">
        <v>7</v>
      </c>
      <c r="I76" s="16" t="n">
        <v>0.137254901960784</v>
      </c>
      <c r="J76" s="14" t="n">
        <v>7</v>
      </c>
      <c r="K76" s="16" t="n">
        <v>0.137254901960784</v>
      </c>
      <c r="L76" s="17" t="n">
        <v>12.5848484848485</v>
      </c>
      <c r="M76" s="18" t="n">
        <v>703.977777777778</v>
      </c>
      <c r="N76" s="17" t="n">
        <v>18</v>
      </c>
      <c r="O76" s="17" t="n">
        <v>2.5</v>
      </c>
      <c r="P76" s="17" t="n">
        <v>5.85111111111111</v>
      </c>
      <c r="Q76" s="14"/>
      <c r="R76" s="14"/>
      <c r="S76" s="19" t="n">
        <f aca="false">IF(L76&gt;2,COUNTIF($L$6:L76,"&gt;2"),"")</f>
        <v>33</v>
      </c>
    </row>
    <row r="77" customFormat="false" ht="15" hidden="false" customHeight="true" outlineLevel="0" collapsed="false">
      <c r="A77" s="13" t="n">
        <v>46236</v>
      </c>
      <c r="B77" s="13" t="n">
        <f aca="false">DataInput[[#This Row],[Week Start]]+6</f>
        <v>46242</v>
      </c>
      <c r="C77" s="14" t="s">
        <v>138</v>
      </c>
      <c r="D77" s="15" t="n">
        <v>0.8125</v>
      </c>
      <c r="E77" s="14" t="n">
        <v>4</v>
      </c>
      <c r="F77" s="14" t="n">
        <v>2</v>
      </c>
      <c r="G77" s="14" t="n">
        <v>2</v>
      </c>
      <c r="H77" s="14" t="n">
        <v>0</v>
      </c>
      <c r="I77" s="16" t="n">
        <v>0</v>
      </c>
      <c r="J77" s="14" t="n">
        <v>0</v>
      </c>
      <c r="K77" s="16" t="n">
        <v>0</v>
      </c>
      <c r="L77" s="17" t="n">
        <v>17.8333333333333</v>
      </c>
      <c r="M77" s="18" t="n">
        <v>581.5</v>
      </c>
      <c r="N77" s="17" t="n">
        <v>3.5</v>
      </c>
      <c r="O77" s="17" t="n">
        <v>0</v>
      </c>
      <c r="P77" s="17" t="n">
        <v>0</v>
      </c>
      <c r="Q77" s="14"/>
      <c r="R77" s="14"/>
      <c r="S77" s="19" t="n">
        <f aca="false">IF(L77&gt;2,COUNTIF($L$6:L77,"&gt;2"),"")</f>
        <v>34</v>
      </c>
    </row>
    <row r="78" customFormat="false" ht="15" hidden="true" customHeight="true" outlineLevel="0" collapsed="false">
      <c r="A78" s="13" t="n">
        <v>46236</v>
      </c>
      <c r="B78" s="13" t="n">
        <f aca="false">DataInput[[#This Row],[Week Start]]+6</f>
        <v>46242</v>
      </c>
      <c r="C78" s="14" t="s">
        <v>139</v>
      </c>
      <c r="D78" s="15" t="n">
        <v>0.333333333333333</v>
      </c>
      <c r="E78" s="14" t="n">
        <v>94</v>
      </c>
      <c r="F78" s="14" t="n">
        <v>84</v>
      </c>
      <c r="G78" s="14" t="n">
        <v>83</v>
      </c>
      <c r="H78" s="14" t="n">
        <v>1</v>
      </c>
      <c r="I78" s="16" t="n">
        <v>0.0119047619047619</v>
      </c>
      <c r="J78" s="14" t="n">
        <v>0</v>
      </c>
      <c r="K78" s="16" t="n">
        <v>0</v>
      </c>
      <c r="L78" s="17" t="n">
        <v>0.844176706827309</v>
      </c>
      <c r="M78" s="18" t="n">
        <v>352.235294117647</v>
      </c>
      <c r="N78" s="17" t="n">
        <v>27.5</v>
      </c>
      <c r="O78" s="17" t="n">
        <v>44.665</v>
      </c>
      <c r="P78" s="17" t="n">
        <v>48.2183333333333</v>
      </c>
      <c r="Q78" s="14"/>
      <c r="R78" s="14"/>
      <c r="S78" s="19" t="str">
        <f aca="false">IF(L78&gt;2,COUNTIF($L$6:L78,"&gt;2"),"")</f>
        <v/>
      </c>
    </row>
    <row r="79" customFormat="false" ht="15" hidden="false" customHeight="true" outlineLevel="0" collapsed="false">
      <c r="A79" s="13" t="n">
        <v>46236</v>
      </c>
      <c r="B79" s="13" t="n">
        <f aca="false">DataInput[[#This Row],[Week Start]]+6</f>
        <v>46242</v>
      </c>
      <c r="C79" s="14" t="s">
        <v>139</v>
      </c>
      <c r="D79" s="15" t="n">
        <v>0.354166666666667</v>
      </c>
      <c r="E79" s="14" t="n">
        <v>137</v>
      </c>
      <c r="F79" s="14" t="n">
        <v>117</v>
      </c>
      <c r="G79" s="14" t="n">
        <v>99</v>
      </c>
      <c r="H79" s="14" t="n">
        <v>18</v>
      </c>
      <c r="I79" s="16" t="n">
        <v>0.153846153846154</v>
      </c>
      <c r="J79" s="14" t="n">
        <v>15</v>
      </c>
      <c r="K79" s="16" t="n">
        <v>0.128205128205128</v>
      </c>
      <c r="L79" s="17" t="n">
        <v>2.97171717171717</v>
      </c>
      <c r="M79" s="18" t="n">
        <v>462.43</v>
      </c>
      <c r="N79" s="17" t="n">
        <v>49.5</v>
      </c>
      <c r="O79" s="17" t="n">
        <v>47</v>
      </c>
      <c r="P79" s="17" t="n">
        <v>44.5994444444444</v>
      </c>
      <c r="Q79" s="14"/>
      <c r="R79" s="14"/>
      <c r="S79" s="19" t="n">
        <f aca="false">IF(L79&gt;2,COUNTIF($L$6:L79,"&gt;2"),"")</f>
        <v>35</v>
      </c>
    </row>
    <row r="80" customFormat="false" ht="15" hidden="false" customHeight="true" outlineLevel="0" collapsed="false">
      <c r="A80" s="13" t="n">
        <v>46236</v>
      </c>
      <c r="B80" s="13" t="n">
        <f aca="false">DataInput[[#This Row],[Week Start]]+6</f>
        <v>46242</v>
      </c>
      <c r="C80" s="14" t="s">
        <v>139</v>
      </c>
      <c r="D80" s="15" t="n">
        <v>0.375</v>
      </c>
      <c r="E80" s="14" t="n">
        <v>184</v>
      </c>
      <c r="F80" s="14" t="n">
        <v>174</v>
      </c>
      <c r="G80" s="14" t="n">
        <v>129</v>
      </c>
      <c r="H80" s="14" t="n">
        <v>45</v>
      </c>
      <c r="I80" s="16" t="n">
        <v>0.258620689655172</v>
      </c>
      <c r="J80" s="14" t="n">
        <v>42</v>
      </c>
      <c r="K80" s="16" t="n">
        <v>0.241379310344828</v>
      </c>
      <c r="L80" s="17" t="n">
        <v>5.91925064599483</v>
      </c>
      <c r="M80" s="18" t="n">
        <v>489.537313432836</v>
      </c>
      <c r="N80" s="17" t="n">
        <v>62.5</v>
      </c>
      <c r="O80" s="17" t="n">
        <v>48.5</v>
      </c>
      <c r="P80" s="17" t="n">
        <v>46.7538888888889</v>
      </c>
      <c r="Q80" s="14"/>
      <c r="R80" s="14"/>
      <c r="S80" s="19" t="n">
        <f aca="false">IF(L80&gt;2,COUNTIF($L$6:L80,"&gt;2"),"")</f>
        <v>36</v>
      </c>
    </row>
    <row r="81" customFormat="false" ht="15" hidden="false" customHeight="true" outlineLevel="0" collapsed="false">
      <c r="A81" s="13" t="n">
        <v>46236</v>
      </c>
      <c r="B81" s="13" t="n">
        <f aca="false">DataInput[[#This Row],[Week Start]]+6</f>
        <v>46242</v>
      </c>
      <c r="C81" s="14" t="s">
        <v>139</v>
      </c>
      <c r="D81" s="15" t="n">
        <v>0.395833333333333</v>
      </c>
      <c r="E81" s="14" t="n">
        <v>173</v>
      </c>
      <c r="F81" s="14" t="n">
        <v>174</v>
      </c>
      <c r="G81" s="14" t="n">
        <v>114</v>
      </c>
      <c r="H81" s="14" t="n">
        <v>60</v>
      </c>
      <c r="I81" s="16" t="n">
        <v>0.344827586206897</v>
      </c>
      <c r="J81" s="14" t="n">
        <v>57</v>
      </c>
      <c r="K81" s="16" t="n">
        <v>0.327586206896552</v>
      </c>
      <c r="L81" s="17" t="n">
        <v>5.19883040935673</v>
      </c>
      <c r="M81" s="18" t="n">
        <v>456.307692307692</v>
      </c>
      <c r="N81" s="17" t="n">
        <v>62</v>
      </c>
      <c r="O81" s="17" t="n">
        <v>41</v>
      </c>
      <c r="P81" s="17" t="n">
        <v>41.9261111111111</v>
      </c>
      <c r="Q81" s="14"/>
      <c r="R81" s="14"/>
      <c r="S81" s="19" t="n">
        <f aca="false">IF(L81&gt;2,COUNTIF($L$6:L81,"&gt;2"),"")</f>
        <v>37</v>
      </c>
    </row>
    <row r="82" customFormat="false" ht="15" hidden="false" customHeight="true" outlineLevel="0" collapsed="false">
      <c r="A82" s="13" t="n">
        <v>46236</v>
      </c>
      <c r="B82" s="13" t="n">
        <f aca="false">DataInput[[#This Row],[Week Start]]+6</f>
        <v>46242</v>
      </c>
      <c r="C82" s="14" t="s">
        <v>139</v>
      </c>
      <c r="D82" s="15" t="n">
        <v>0.416666666666667</v>
      </c>
      <c r="E82" s="14" t="n">
        <v>211</v>
      </c>
      <c r="F82" s="14" t="n">
        <v>255</v>
      </c>
      <c r="G82" s="14" t="n">
        <v>155</v>
      </c>
      <c r="H82" s="14" t="n">
        <v>100</v>
      </c>
      <c r="I82" s="16" t="n">
        <v>0.392156862745098</v>
      </c>
      <c r="J82" s="14" t="n">
        <v>93</v>
      </c>
      <c r="K82" s="16" t="n">
        <v>0.364705882352941</v>
      </c>
      <c r="L82" s="17" t="n">
        <v>9.21548387096774</v>
      </c>
      <c r="M82" s="18" t="n">
        <v>421.96835443038</v>
      </c>
      <c r="N82" s="17" t="n">
        <v>71</v>
      </c>
      <c r="O82" s="17" t="n">
        <v>61</v>
      </c>
      <c r="P82" s="17" t="n">
        <v>58.4872222222222</v>
      </c>
      <c r="Q82" s="14"/>
      <c r="R82" s="14"/>
      <c r="S82" s="19" t="n">
        <f aca="false">IF(L82&gt;2,COUNTIF($L$6:L82,"&gt;2"),"")</f>
        <v>38</v>
      </c>
    </row>
    <row r="83" customFormat="false" ht="15" hidden="false" customHeight="true" outlineLevel="0" collapsed="false">
      <c r="A83" s="13" t="n">
        <v>46236</v>
      </c>
      <c r="B83" s="13" t="n">
        <f aca="false">DataInput[[#This Row],[Week Start]]+6</f>
        <v>46242</v>
      </c>
      <c r="C83" s="14" t="s">
        <v>139</v>
      </c>
      <c r="D83" s="15" t="n">
        <v>0.4375</v>
      </c>
      <c r="E83" s="14" t="n">
        <v>226</v>
      </c>
      <c r="F83" s="14" t="n">
        <v>271</v>
      </c>
      <c r="G83" s="14" t="n">
        <v>211</v>
      </c>
      <c r="H83" s="14" t="n">
        <v>60</v>
      </c>
      <c r="I83" s="16" t="n">
        <v>0.22140221402214</v>
      </c>
      <c r="J83" s="14" t="n">
        <v>57</v>
      </c>
      <c r="K83" s="16" t="n">
        <v>0.210332103321033</v>
      </c>
      <c r="L83" s="17" t="n">
        <v>8.02693522906793</v>
      </c>
      <c r="M83" s="18" t="n">
        <v>433.51376146789</v>
      </c>
      <c r="N83" s="17" t="n">
        <v>74</v>
      </c>
      <c r="O83" s="17" t="n">
        <v>75.335</v>
      </c>
      <c r="P83" s="17" t="n">
        <v>73.3177777777778</v>
      </c>
      <c r="Q83" s="14"/>
      <c r="R83" s="14"/>
      <c r="S83" s="19" t="n">
        <f aca="false">IF(L83&gt;2,COUNTIF($L$6:L83,"&gt;2"),"")</f>
        <v>39</v>
      </c>
    </row>
    <row r="84" customFormat="false" ht="15" hidden="false" customHeight="true" outlineLevel="0" collapsed="false">
      <c r="A84" s="13" t="n">
        <v>46236</v>
      </c>
      <c r="B84" s="13" t="n">
        <f aca="false">DataInput[[#This Row],[Week Start]]+6</f>
        <v>46242</v>
      </c>
      <c r="C84" s="14" t="s">
        <v>139</v>
      </c>
      <c r="D84" s="15" t="n">
        <v>0.458333333333333</v>
      </c>
      <c r="E84" s="14" t="n">
        <v>229</v>
      </c>
      <c r="F84" s="14" t="n">
        <v>212</v>
      </c>
      <c r="G84" s="14" t="n">
        <v>203</v>
      </c>
      <c r="H84" s="14" t="n">
        <v>9</v>
      </c>
      <c r="I84" s="16" t="n">
        <v>0.0424528301886792</v>
      </c>
      <c r="J84" s="14" t="n">
        <v>7</v>
      </c>
      <c r="K84" s="16" t="n">
        <v>0.0330188679245283</v>
      </c>
      <c r="L84" s="17" t="n">
        <v>3.79622331691297</v>
      </c>
      <c r="M84" s="18" t="n">
        <v>467.535885167464</v>
      </c>
      <c r="N84" s="17" t="n">
        <v>82</v>
      </c>
      <c r="O84" s="17" t="n">
        <v>83.5</v>
      </c>
      <c r="P84" s="17" t="n">
        <v>81.6744444444445</v>
      </c>
      <c r="Q84" s="14"/>
      <c r="R84" s="14"/>
      <c r="S84" s="19" t="n">
        <f aca="false">IF(L84&gt;2,COUNTIF($L$6:L84,"&gt;2"),"")</f>
        <v>40</v>
      </c>
    </row>
    <row r="85" customFormat="false" ht="15" hidden="true" customHeight="true" outlineLevel="0" collapsed="false">
      <c r="A85" s="13" t="n">
        <v>46236</v>
      </c>
      <c r="B85" s="13" t="n">
        <f aca="false">DataInput[[#This Row],[Week Start]]+6</f>
        <v>46242</v>
      </c>
      <c r="C85" s="14" t="s">
        <v>139</v>
      </c>
      <c r="D85" s="15" t="n">
        <v>0.479166666666667</v>
      </c>
      <c r="E85" s="14" t="n">
        <v>220</v>
      </c>
      <c r="F85" s="14" t="n">
        <v>193</v>
      </c>
      <c r="G85" s="14" t="n">
        <v>191</v>
      </c>
      <c r="H85" s="14" t="n">
        <v>2</v>
      </c>
      <c r="I85" s="16" t="n">
        <v>0.0103626943005181</v>
      </c>
      <c r="J85" s="14" t="n">
        <v>0</v>
      </c>
      <c r="K85" s="16" t="n">
        <v>0</v>
      </c>
      <c r="L85" s="17" t="n">
        <v>0.521291448516579</v>
      </c>
      <c r="M85" s="18" t="n">
        <v>428.922279792746</v>
      </c>
      <c r="N85" s="17" t="n">
        <v>71</v>
      </c>
      <c r="O85" s="17" t="n">
        <v>65</v>
      </c>
      <c r="P85" s="17" t="n">
        <v>69.8627777777778</v>
      </c>
      <c r="Q85" s="14"/>
      <c r="R85" s="14"/>
      <c r="S85" s="19" t="str">
        <f aca="false">IF(L85&gt;2,COUNTIF($L$6:L85,"&gt;2"),"")</f>
        <v/>
      </c>
    </row>
    <row r="86" customFormat="false" ht="15" hidden="true" customHeight="true" outlineLevel="0" collapsed="false">
      <c r="A86" s="13" t="n">
        <v>46236</v>
      </c>
      <c r="B86" s="13" t="n">
        <f aca="false">DataInput[[#This Row],[Week Start]]+6</f>
        <v>46242</v>
      </c>
      <c r="C86" s="14" t="s">
        <v>139</v>
      </c>
      <c r="D86" s="15" t="n">
        <v>0.5</v>
      </c>
      <c r="E86" s="14" t="n">
        <v>213</v>
      </c>
      <c r="F86" s="14" t="n">
        <v>221</v>
      </c>
      <c r="G86" s="14" t="n">
        <v>188</v>
      </c>
      <c r="H86" s="14" t="n">
        <v>33</v>
      </c>
      <c r="I86" s="16" t="n">
        <v>0.149321266968326</v>
      </c>
      <c r="J86" s="14" t="n">
        <v>27</v>
      </c>
      <c r="K86" s="16" t="n">
        <v>0.122171945701358</v>
      </c>
      <c r="L86" s="17" t="n">
        <v>1.53785460992908</v>
      </c>
      <c r="M86" s="18" t="n">
        <v>425.135416666667</v>
      </c>
      <c r="N86" s="17" t="n">
        <v>74.5</v>
      </c>
      <c r="O86" s="17" t="n">
        <v>53.5</v>
      </c>
      <c r="P86" s="17" t="n">
        <v>57.5761111111111</v>
      </c>
      <c r="Q86" s="14"/>
      <c r="R86" s="14"/>
      <c r="S86" s="19" t="str">
        <f aca="false">IF(L86&gt;2,COUNTIF($L$6:L86,"&gt;2"),"")</f>
        <v/>
      </c>
    </row>
    <row r="87" customFormat="false" ht="15" hidden="false" customHeight="true" outlineLevel="0" collapsed="false">
      <c r="A87" s="13" t="n">
        <v>46236</v>
      </c>
      <c r="B87" s="13" t="n">
        <f aca="false">DataInput[[#This Row],[Week Start]]+6</f>
        <v>46242</v>
      </c>
      <c r="C87" s="14" t="s">
        <v>139</v>
      </c>
      <c r="D87" s="15" t="n">
        <v>0.520833333333333</v>
      </c>
      <c r="E87" s="14" t="n">
        <v>206</v>
      </c>
      <c r="F87" s="14" t="n">
        <v>199</v>
      </c>
      <c r="G87" s="14" t="n">
        <v>170</v>
      </c>
      <c r="H87" s="14" t="n">
        <v>29</v>
      </c>
      <c r="I87" s="16" t="n">
        <v>0.14572864321608</v>
      </c>
      <c r="J87" s="14" t="n">
        <v>23</v>
      </c>
      <c r="K87" s="16" t="n">
        <v>0.115577889447236</v>
      </c>
      <c r="L87" s="17" t="n">
        <v>3.4228431372549</v>
      </c>
      <c r="M87" s="18" t="n">
        <v>462.942196531792</v>
      </c>
      <c r="N87" s="17" t="n">
        <v>75.5</v>
      </c>
      <c r="O87" s="17" t="n">
        <v>61</v>
      </c>
      <c r="P87" s="17" t="n">
        <v>53.3716666666667</v>
      </c>
      <c r="Q87" s="14"/>
      <c r="R87" s="14"/>
      <c r="S87" s="19" t="n">
        <f aca="false">IF(L87&gt;2,COUNTIF($L$6:L87,"&gt;2"),"")</f>
        <v>41</v>
      </c>
    </row>
    <row r="88" customFormat="false" ht="15" hidden="false" customHeight="true" outlineLevel="0" collapsed="false">
      <c r="A88" s="13" t="n">
        <v>46236</v>
      </c>
      <c r="B88" s="13" t="n">
        <f aca="false">DataInput[[#This Row],[Week Start]]+6</f>
        <v>46242</v>
      </c>
      <c r="C88" s="14" t="s">
        <v>139</v>
      </c>
      <c r="D88" s="15" t="n">
        <v>0.541666666666667</v>
      </c>
      <c r="E88" s="14" t="n">
        <v>205</v>
      </c>
      <c r="F88" s="14" t="n">
        <v>183</v>
      </c>
      <c r="G88" s="14" t="n">
        <v>152</v>
      </c>
      <c r="H88" s="14" t="n">
        <v>31</v>
      </c>
      <c r="I88" s="16" t="n">
        <v>0.169398907103825</v>
      </c>
      <c r="J88" s="14" t="n">
        <v>26</v>
      </c>
      <c r="K88" s="16" t="n">
        <v>0.14207650273224</v>
      </c>
      <c r="L88" s="17" t="n">
        <v>4.62412280701754</v>
      </c>
      <c r="M88" s="18" t="n">
        <v>490.556962025317</v>
      </c>
      <c r="N88" s="17" t="n">
        <v>72</v>
      </c>
      <c r="O88" s="17" t="n">
        <v>62.835</v>
      </c>
      <c r="P88" s="17" t="n">
        <v>53.6994444444445</v>
      </c>
      <c r="Q88" s="14"/>
      <c r="R88" s="14"/>
      <c r="S88" s="19" t="n">
        <f aca="false">IF(L88&gt;2,COUNTIF($L$6:L88,"&gt;2"),"")</f>
        <v>42</v>
      </c>
    </row>
    <row r="89" customFormat="false" ht="15" hidden="false" customHeight="true" outlineLevel="0" collapsed="false">
      <c r="A89" s="13" t="n">
        <v>46236</v>
      </c>
      <c r="B89" s="13" t="n">
        <f aca="false">DataInput[[#This Row],[Week Start]]+6</f>
        <v>46242</v>
      </c>
      <c r="C89" s="14" t="s">
        <v>139</v>
      </c>
      <c r="D89" s="15" t="n">
        <v>0.5625</v>
      </c>
      <c r="E89" s="14" t="n">
        <v>190</v>
      </c>
      <c r="F89" s="14" t="n">
        <v>210</v>
      </c>
      <c r="G89" s="14" t="n">
        <v>199</v>
      </c>
      <c r="H89" s="14" t="n">
        <v>11</v>
      </c>
      <c r="I89" s="16" t="n">
        <v>0.0523809523809524</v>
      </c>
      <c r="J89" s="14" t="n">
        <v>7</v>
      </c>
      <c r="K89" s="16" t="n">
        <v>0.0333333333333333</v>
      </c>
      <c r="L89" s="17" t="n">
        <v>2.27269681742044</v>
      </c>
      <c r="M89" s="18" t="n">
        <v>453.950738916256</v>
      </c>
      <c r="N89" s="17" t="n">
        <v>67</v>
      </c>
      <c r="O89" s="17" t="n">
        <v>67.835</v>
      </c>
      <c r="P89" s="17" t="n">
        <v>66.2822222222222</v>
      </c>
      <c r="Q89" s="14"/>
      <c r="R89" s="14"/>
      <c r="S89" s="19" t="n">
        <f aca="false">IF(L89&gt;2,COUNTIF($L$6:L89,"&gt;2"),"")</f>
        <v>43</v>
      </c>
    </row>
    <row r="90" customFormat="false" ht="15" hidden="true" customHeight="true" outlineLevel="0" collapsed="false">
      <c r="A90" s="13" t="n">
        <v>46236</v>
      </c>
      <c r="B90" s="13" t="n">
        <f aca="false">DataInput[[#This Row],[Week Start]]+6</f>
        <v>46242</v>
      </c>
      <c r="C90" s="14" t="s">
        <v>139</v>
      </c>
      <c r="D90" s="15" t="n">
        <v>0.583333333333333</v>
      </c>
      <c r="E90" s="14" t="n">
        <v>190</v>
      </c>
      <c r="F90" s="14" t="n">
        <v>178</v>
      </c>
      <c r="G90" s="14" t="n">
        <v>174</v>
      </c>
      <c r="H90" s="14" t="n">
        <v>4</v>
      </c>
      <c r="I90" s="16" t="n">
        <v>0.0224719101123596</v>
      </c>
      <c r="J90" s="14" t="n">
        <v>0</v>
      </c>
      <c r="K90" s="16" t="n">
        <v>0</v>
      </c>
      <c r="L90" s="17" t="n">
        <v>0.582471264367816</v>
      </c>
      <c r="M90" s="18" t="n">
        <v>444.805555555556</v>
      </c>
      <c r="N90" s="17" t="n">
        <v>67.5</v>
      </c>
      <c r="O90" s="17" t="n">
        <v>62.665</v>
      </c>
      <c r="P90" s="17" t="n">
        <v>63.7361111111111</v>
      </c>
      <c r="Q90" s="14"/>
      <c r="R90" s="14"/>
      <c r="S90" s="19" t="str">
        <f aca="false">IF(L90&gt;2,COUNTIF($L$6:L90,"&gt;2"),"")</f>
        <v/>
      </c>
    </row>
    <row r="91" customFormat="false" ht="15" hidden="true" customHeight="true" outlineLevel="0" collapsed="false">
      <c r="A91" s="13" t="n">
        <v>46236</v>
      </c>
      <c r="B91" s="13" t="n">
        <f aca="false">DataInput[[#This Row],[Week Start]]+6</f>
        <v>46242</v>
      </c>
      <c r="C91" s="14" t="s">
        <v>139</v>
      </c>
      <c r="D91" s="15" t="n">
        <v>0.604166666666667</v>
      </c>
      <c r="E91" s="14" t="n">
        <v>184</v>
      </c>
      <c r="F91" s="14" t="n">
        <v>177</v>
      </c>
      <c r="G91" s="14" t="n">
        <v>174</v>
      </c>
      <c r="H91" s="14" t="n">
        <v>3</v>
      </c>
      <c r="I91" s="16" t="n">
        <v>0.0169491525423729</v>
      </c>
      <c r="J91" s="14" t="n">
        <v>2</v>
      </c>
      <c r="K91" s="16" t="n">
        <v>0.0112994350282486</v>
      </c>
      <c r="L91" s="17" t="n">
        <v>0.500287356321839</v>
      </c>
      <c r="M91" s="18" t="n">
        <v>432.75956284153</v>
      </c>
      <c r="N91" s="17" t="n">
        <v>59.5</v>
      </c>
      <c r="O91" s="17" t="n">
        <v>59.665</v>
      </c>
      <c r="P91" s="17" t="n">
        <v>58.1522222222222</v>
      </c>
      <c r="Q91" s="14"/>
      <c r="R91" s="14"/>
      <c r="S91" s="19" t="str">
        <f aca="false">IF(L91&gt;2,COUNTIF($L$6:L91,"&gt;2"),"")</f>
        <v/>
      </c>
    </row>
    <row r="92" customFormat="false" ht="15" hidden="true" customHeight="true" outlineLevel="0" collapsed="false">
      <c r="A92" s="13" t="n">
        <v>46236</v>
      </c>
      <c r="B92" s="13" t="n">
        <f aca="false">DataInput[[#This Row],[Week Start]]+6</f>
        <v>46242</v>
      </c>
      <c r="C92" s="14" t="s">
        <v>139</v>
      </c>
      <c r="D92" s="15" t="n">
        <v>0.625</v>
      </c>
      <c r="E92" s="14" t="n">
        <v>180</v>
      </c>
      <c r="F92" s="14" t="n">
        <v>174</v>
      </c>
      <c r="G92" s="14" t="n">
        <v>172</v>
      </c>
      <c r="H92" s="14" t="n">
        <v>2</v>
      </c>
      <c r="I92" s="16" t="n">
        <v>0.0114942528735632</v>
      </c>
      <c r="J92" s="14" t="n">
        <v>0</v>
      </c>
      <c r="K92" s="16" t="n">
        <v>0</v>
      </c>
      <c r="L92" s="17" t="n">
        <v>0.131007751937985</v>
      </c>
      <c r="M92" s="18" t="n">
        <v>394.418994413408</v>
      </c>
      <c r="N92" s="17" t="n">
        <v>63</v>
      </c>
      <c r="O92" s="17" t="n">
        <v>62.835</v>
      </c>
      <c r="P92" s="17" t="n">
        <v>58.9227777777778</v>
      </c>
      <c r="Q92" s="14"/>
      <c r="R92" s="14"/>
      <c r="S92" s="19" t="str">
        <f aca="false">IF(L92&gt;2,COUNTIF($L$6:L92,"&gt;2"),"")</f>
        <v/>
      </c>
    </row>
    <row r="93" customFormat="false" ht="15" hidden="true" customHeight="true" outlineLevel="0" collapsed="false">
      <c r="A93" s="13" t="n">
        <v>46236</v>
      </c>
      <c r="B93" s="13" t="n">
        <f aca="false">DataInput[[#This Row],[Week Start]]+6</f>
        <v>46242</v>
      </c>
      <c r="C93" s="14" t="s">
        <v>139</v>
      </c>
      <c r="D93" s="15" t="n">
        <v>0.645833333333333</v>
      </c>
      <c r="E93" s="14" t="n">
        <v>206</v>
      </c>
      <c r="F93" s="14" t="n">
        <v>216</v>
      </c>
      <c r="G93" s="14" t="n">
        <v>212</v>
      </c>
      <c r="H93" s="14" t="n">
        <v>4</v>
      </c>
      <c r="I93" s="16" t="n">
        <v>0.0185185185185185</v>
      </c>
      <c r="J93" s="14" t="n">
        <v>0</v>
      </c>
      <c r="K93" s="16" t="n">
        <v>0</v>
      </c>
      <c r="L93" s="17" t="n">
        <v>0.105581761006289</v>
      </c>
      <c r="M93" s="18" t="n">
        <v>388.46261682243</v>
      </c>
      <c r="N93" s="17" t="n">
        <v>72</v>
      </c>
      <c r="O93" s="17" t="n">
        <v>78.835</v>
      </c>
      <c r="P93" s="17" t="n">
        <v>72.5877777777778</v>
      </c>
      <c r="Q93" s="14"/>
      <c r="R93" s="14"/>
      <c r="S93" s="19" t="str">
        <f aca="false">IF(L93&gt;2,COUNTIF($L$6:L93,"&gt;2"),"")</f>
        <v/>
      </c>
    </row>
    <row r="94" customFormat="false" ht="15" hidden="true" customHeight="true" outlineLevel="0" collapsed="false">
      <c r="A94" s="13" t="n">
        <v>46236</v>
      </c>
      <c r="B94" s="13" t="n">
        <f aca="false">DataInput[[#This Row],[Week Start]]+6</f>
        <v>46242</v>
      </c>
      <c r="C94" s="14" t="s">
        <v>139</v>
      </c>
      <c r="D94" s="15" t="n">
        <v>0.666666666666667</v>
      </c>
      <c r="E94" s="14" t="n">
        <v>187</v>
      </c>
      <c r="F94" s="14" t="n">
        <v>226</v>
      </c>
      <c r="G94" s="14" t="n">
        <v>218</v>
      </c>
      <c r="H94" s="14" t="n">
        <v>8</v>
      </c>
      <c r="I94" s="16" t="n">
        <v>0.0353982300884956</v>
      </c>
      <c r="J94" s="14" t="n">
        <v>0</v>
      </c>
      <c r="K94" s="16" t="n">
        <v>0</v>
      </c>
      <c r="L94" s="17" t="n">
        <v>0.112079510703364</v>
      </c>
      <c r="M94" s="18" t="n">
        <v>399.776785714286</v>
      </c>
      <c r="N94" s="17" t="n">
        <v>64.5</v>
      </c>
      <c r="O94" s="17" t="n">
        <v>79</v>
      </c>
      <c r="P94" s="17" t="n">
        <v>78.4616666666667</v>
      </c>
      <c r="Q94" s="14"/>
      <c r="R94" s="14"/>
      <c r="S94" s="19" t="str">
        <f aca="false">IF(L94&gt;2,COUNTIF($L$6:L94,"&gt;2"),"")</f>
        <v/>
      </c>
    </row>
    <row r="95" customFormat="false" ht="15" hidden="true" customHeight="true" outlineLevel="0" collapsed="false">
      <c r="A95" s="13" t="n">
        <v>46236</v>
      </c>
      <c r="B95" s="13" t="n">
        <f aca="false">DataInput[[#This Row],[Week Start]]+6</f>
        <v>46242</v>
      </c>
      <c r="C95" s="14" t="s">
        <v>139</v>
      </c>
      <c r="D95" s="15" t="n">
        <v>0.6875</v>
      </c>
      <c r="E95" s="14" t="n">
        <v>196</v>
      </c>
      <c r="F95" s="14" t="n">
        <v>200</v>
      </c>
      <c r="G95" s="14" t="n">
        <v>200</v>
      </c>
      <c r="H95" s="14" t="n">
        <v>0</v>
      </c>
      <c r="I95" s="16" t="n">
        <v>0</v>
      </c>
      <c r="J95" s="14" t="n">
        <v>0</v>
      </c>
      <c r="K95" s="16" t="n">
        <v>0</v>
      </c>
      <c r="L95" s="17" t="n">
        <v>0.100333333333333</v>
      </c>
      <c r="M95" s="18" t="n">
        <v>407.63768115942</v>
      </c>
      <c r="N95" s="17" t="n">
        <v>65.5</v>
      </c>
      <c r="O95" s="17" t="n">
        <v>76</v>
      </c>
      <c r="P95" s="17" t="n">
        <v>72.4622222222222</v>
      </c>
      <c r="Q95" s="14"/>
      <c r="R95" s="14"/>
      <c r="S95" s="19" t="str">
        <f aca="false">IF(L95&gt;2,COUNTIF($L$6:L95,"&gt;2"),"")</f>
        <v/>
      </c>
    </row>
    <row r="96" customFormat="false" ht="15" hidden="true" customHeight="true" outlineLevel="0" collapsed="false">
      <c r="A96" s="13" t="n">
        <v>46236</v>
      </c>
      <c r="B96" s="13" t="n">
        <f aca="false">DataInput[[#This Row],[Week Start]]+6</f>
        <v>46242</v>
      </c>
      <c r="C96" s="14" t="s">
        <v>139</v>
      </c>
      <c r="D96" s="15" t="n">
        <v>0.708333333333333</v>
      </c>
      <c r="E96" s="14" t="n">
        <v>163</v>
      </c>
      <c r="F96" s="14" t="n">
        <v>158</v>
      </c>
      <c r="G96" s="14" t="n">
        <v>137</v>
      </c>
      <c r="H96" s="14" t="n">
        <v>21</v>
      </c>
      <c r="I96" s="16" t="n">
        <v>0.132911392405063</v>
      </c>
      <c r="J96" s="14" t="n">
        <v>14</v>
      </c>
      <c r="K96" s="16" t="n">
        <v>0.0886075949367089</v>
      </c>
      <c r="L96" s="17" t="n">
        <v>1.20924574209246</v>
      </c>
      <c r="M96" s="18" t="n">
        <v>455.040816326531</v>
      </c>
      <c r="N96" s="17" t="n">
        <v>54.5</v>
      </c>
      <c r="O96" s="17" t="n">
        <v>50</v>
      </c>
      <c r="P96" s="17" t="n">
        <v>49.8033333333333</v>
      </c>
      <c r="Q96" s="14"/>
      <c r="R96" s="14"/>
      <c r="S96" s="19" t="str">
        <f aca="false">IF(L96&gt;2,COUNTIF($L$6:L96,"&gt;2"),"")</f>
        <v/>
      </c>
    </row>
    <row r="97" customFormat="false" ht="15" hidden="false" customHeight="true" outlineLevel="0" collapsed="false">
      <c r="A97" s="13" t="n">
        <v>46236</v>
      </c>
      <c r="B97" s="13" t="n">
        <f aca="false">DataInput[[#This Row],[Week Start]]+6</f>
        <v>46242</v>
      </c>
      <c r="C97" s="14" t="s">
        <v>139</v>
      </c>
      <c r="D97" s="15" t="n">
        <v>0.729166666666667</v>
      </c>
      <c r="E97" s="14" t="n">
        <v>153</v>
      </c>
      <c r="F97" s="14" t="n">
        <v>142</v>
      </c>
      <c r="G97" s="14" t="n">
        <v>105</v>
      </c>
      <c r="H97" s="14" t="n">
        <v>37</v>
      </c>
      <c r="I97" s="16" t="n">
        <v>0.26056338028169</v>
      </c>
      <c r="J97" s="14" t="n">
        <v>32</v>
      </c>
      <c r="K97" s="16" t="n">
        <v>0.225352112676056</v>
      </c>
      <c r="L97" s="17" t="n">
        <v>5.96603174603175</v>
      </c>
      <c r="M97" s="18" t="n">
        <v>537.390909090909</v>
      </c>
      <c r="N97" s="17" t="n">
        <v>51.5</v>
      </c>
      <c r="O97" s="17" t="n">
        <v>38</v>
      </c>
      <c r="P97" s="17" t="n">
        <v>34.3605555555556</v>
      </c>
      <c r="Q97" s="14"/>
      <c r="R97" s="14"/>
      <c r="S97" s="19" t="n">
        <f aca="false">IF(L97&gt;2,COUNTIF($L$6:L97,"&gt;2"),"")</f>
        <v>44</v>
      </c>
    </row>
    <row r="98" customFormat="false" ht="15" hidden="false" customHeight="true" outlineLevel="0" collapsed="false">
      <c r="A98" s="13" t="n">
        <v>46236</v>
      </c>
      <c r="B98" s="13" t="n">
        <f aca="false">DataInput[[#This Row],[Week Start]]+6</f>
        <v>46242</v>
      </c>
      <c r="C98" s="14" t="s">
        <v>139</v>
      </c>
      <c r="D98" s="15" t="n">
        <v>0.75</v>
      </c>
      <c r="E98" s="14" t="n">
        <v>134</v>
      </c>
      <c r="F98" s="14" t="n">
        <v>155</v>
      </c>
      <c r="G98" s="14" t="n">
        <v>133</v>
      </c>
      <c r="H98" s="14" t="n">
        <v>22</v>
      </c>
      <c r="I98" s="16" t="n">
        <v>0.141935483870968</v>
      </c>
      <c r="J98" s="14" t="n">
        <v>21</v>
      </c>
      <c r="K98" s="16" t="n">
        <v>0.135483870967742</v>
      </c>
      <c r="L98" s="17" t="n">
        <v>5.74887218045113</v>
      </c>
      <c r="M98" s="18" t="n">
        <v>433.838235294118</v>
      </c>
      <c r="N98" s="17" t="n">
        <v>44</v>
      </c>
      <c r="O98" s="17" t="n">
        <v>37</v>
      </c>
      <c r="P98" s="17" t="n">
        <v>36.4327777777778</v>
      </c>
      <c r="Q98" s="14"/>
      <c r="R98" s="14"/>
      <c r="S98" s="19" t="n">
        <f aca="false">IF(L98&gt;2,COUNTIF($L$6:L98,"&gt;2"),"")</f>
        <v>45</v>
      </c>
    </row>
    <row r="99" customFormat="false" ht="15" hidden="true" customHeight="true" outlineLevel="0" collapsed="false">
      <c r="A99" s="13" t="n">
        <v>46236</v>
      </c>
      <c r="B99" s="13" t="n">
        <f aca="false">DataInput[[#This Row],[Week Start]]+6</f>
        <v>46242</v>
      </c>
      <c r="C99" s="14" t="s">
        <v>139</v>
      </c>
      <c r="D99" s="15" t="n">
        <v>0.770833333333333</v>
      </c>
      <c r="E99" s="14" t="n">
        <v>118</v>
      </c>
      <c r="F99" s="14" t="n">
        <v>111</v>
      </c>
      <c r="G99" s="14" t="n">
        <v>107</v>
      </c>
      <c r="H99" s="14" t="n">
        <v>4</v>
      </c>
      <c r="I99" s="16" t="n">
        <v>0.036036036036036</v>
      </c>
      <c r="J99" s="14" t="n">
        <v>2</v>
      </c>
      <c r="K99" s="16" t="n">
        <v>0.018018018018018</v>
      </c>
      <c r="L99" s="17" t="n">
        <v>1.52040498442368</v>
      </c>
      <c r="M99" s="18" t="n">
        <v>431.571428571429</v>
      </c>
      <c r="N99" s="17" t="n">
        <v>36.5</v>
      </c>
      <c r="O99" s="17" t="n">
        <v>37</v>
      </c>
      <c r="P99" s="17" t="n">
        <v>36.4</v>
      </c>
      <c r="Q99" s="14"/>
      <c r="R99" s="14"/>
      <c r="S99" s="19" t="str">
        <f aca="false">IF(L99&gt;2,COUNTIF($L$6:L99,"&gt;2"),"")</f>
        <v/>
      </c>
    </row>
    <row r="100" customFormat="false" ht="15" hidden="true" customHeight="true" outlineLevel="0" collapsed="false">
      <c r="A100" s="13" t="n">
        <v>46236</v>
      </c>
      <c r="B100" s="13" t="n">
        <f aca="false">DataInput[[#This Row],[Week Start]]+6</f>
        <v>46242</v>
      </c>
      <c r="C100" s="14" t="s">
        <v>139</v>
      </c>
      <c r="D100" s="15" t="n">
        <v>0.791666666666667</v>
      </c>
      <c r="E100" s="14" t="n">
        <v>32</v>
      </c>
      <c r="F100" s="14" t="n">
        <v>27</v>
      </c>
      <c r="G100" s="14" t="n">
        <v>27</v>
      </c>
      <c r="H100" s="14" t="n">
        <v>0</v>
      </c>
      <c r="I100" s="16" t="n">
        <v>0</v>
      </c>
      <c r="J100" s="14" t="n">
        <v>0</v>
      </c>
      <c r="K100" s="16" t="n">
        <v>0</v>
      </c>
      <c r="L100" s="17" t="n">
        <v>0.691358024691358</v>
      </c>
      <c r="M100" s="18" t="n">
        <v>596.392857142857</v>
      </c>
      <c r="N100" s="17" t="n">
        <v>17</v>
      </c>
      <c r="O100" s="17" t="n">
        <v>2.5</v>
      </c>
      <c r="P100" s="17" t="n">
        <v>3.72555555555556</v>
      </c>
      <c r="Q100" s="14"/>
      <c r="R100" s="14"/>
      <c r="S100" s="19" t="str">
        <f aca="false">IF(L100&gt;2,COUNTIF($L$6:L100,"&gt;2"),"")</f>
        <v/>
      </c>
    </row>
    <row r="101" customFormat="false" ht="15" hidden="true" customHeight="true" outlineLevel="0" collapsed="false">
      <c r="A101" s="13" t="n">
        <v>46236</v>
      </c>
      <c r="B101" s="13" t="n">
        <f aca="false">DataInput[[#This Row],[Week Start]]+6</f>
        <v>46242</v>
      </c>
      <c r="C101" s="14" t="s">
        <v>139</v>
      </c>
      <c r="D101" s="15" t="n">
        <v>0.8125</v>
      </c>
      <c r="E101" s="14" t="n">
        <v>2</v>
      </c>
      <c r="F101" s="14" t="n">
        <v>1</v>
      </c>
      <c r="G101" s="14" t="n">
        <v>1</v>
      </c>
      <c r="H101" s="14" t="n">
        <v>0</v>
      </c>
      <c r="I101" s="16" t="n">
        <v>0</v>
      </c>
      <c r="J101" s="14" t="n">
        <v>0</v>
      </c>
      <c r="K101" s="16" t="n">
        <v>0</v>
      </c>
      <c r="L101" s="17" t="n">
        <v>0.1</v>
      </c>
      <c r="M101" s="18" t="n">
        <v>264</v>
      </c>
      <c r="N101" s="17" t="n">
        <v>2</v>
      </c>
      <c r="O101" s="17" t="n">
        <v>0</v>
      </c>
      <c r="P101" s="17" t="n">
        <v>0</v>
      </c>
      <c r="Q101" s="14"/>
      <c r="R101" s="14"/>
      <c r="S101" s="19" t="str">
        <f aca="false">IF(L101&gt;2,COUNTIF($L$6:L101,"&gt;2"),"")</f>
        <v/>
      </c>
    </row>
    <row r="102" customFormat="false" ht="15" hidden="true" customHeight="true" outlineLevel="0" collapsed="false">
      <c r="A102" s="13" t="n">
        <v>46236</v>
      </c>
      <c r="B102" s="13" t="n">
        <f aca="false">DataInput[[#This Row],[Week Start]]+6</f>
        <v>46242</v>
      </c>
      <c r="C102" s="14" t="s">
        <v>140</v>
      </c>
      <c r="D102" s="15" t="n">
        <v>0.333333333333333</v>
      </c>
      <c r="E102" s="14" t="n">
        <v>153</v>
      </c>
      <c r="F102" s="14" t="n">
        <v>89</v>
      </c>
      <c r="G102" s="14" t="n">
        <v>86</v>
      </c>
      <c r="H102" s="14" t="n">
        <v>3</v>
      </c>
      <c r="I102" s="16" t="n">
        <v>0.0337078651685393</v>
      </c>
      <c r="J102" s="14" t="n">
        <v>0</v>
      </c>
      <c r="K102" s="16" t="n">
        <v>0</v>
      </c>
      <c r="L102" s="17" t="n">
        <v>0.153100775193798</v>
      </c>
      <c r="M102" s="18" t="n">
        <v>363.876404494382</v>
      </c>
      <c r="N102" s="17" t="n">
        <v>27</v>
      </c>
      <c r="O102" s="17" t="n">
        <v>52.665</v>
      </c>
      <c r="P102" s="17" t="n">
        <v>50.5688888888889</v>
      </c>
      <c r="Q102" s="14"/>
      <c r="R102" s="14"/>
      <c r="S102" s="19" t="str">
        <f aca="false">IF(L102&gt;2,COUNTIF($L$6:L102,"&gt;2"),"")</f>
        <v/>
      </c>
    </row>
    <row r="103" customFormat="false" ht="15" hidden="true" customHeight="true" outlineLevel="0" collapsed="false">
      <c r="A103" s="13" t="n">
        <v>46236</v>
      </c>
      <c r="B103" s="13" t="n">
        <f aca="false">DataInput[[#This Row],[Week Start]]+6</f>
        <v>46242</v>
      </c>
      <c r="C103" s="14" t="s">
        <v>140</v>
      </c>
      <c r="D103" s="15" t="n">
        <v>0.354166666666667</v>
      </c>
      <c r="E103" s="14" t="n">
        <v>121</v>
      </c>
      <c r="F103" s="14" t="n">
        <v>130</v>
      </c>
      <c r="G103" s="14" t="n">
        <v>124</v>
      </c>
      <c r="H103" s="14" t="n">
        <v>6</v>
      </c>
      <c r="I103" s="16" t="n">
        <v>0.0461538461538462</v>
      </c>
      <c r="J103" s="14" t="n">
        <v>0</v>
      </c>
      <c r="K103" s="16" t="n">
        <v>0</v>
      </c>
      <c r="L103" s="17" t="n">
        <v>0.136962365591398</v>
      </c>
      <c r="M103" s="18" t="n">
        <v>412.264</v>
      </c>
      <c r="N103" s="17" t="n">
        <v>44</v>
      </c>
      <c r="O103" s="17" t="n">
        <v>55</v>
      </c>
      <c r="P103" s="17" t="n">
        <v>53.3011111111111</v>
      </c>
      <c r="Q103" s="14"/>
      <c r="R103" s="14"/>
      <c r="S103" s="19" t="str">
        <f aca="false">IF(L103&gt;2,COUNTIF($L$6:L103,"&gt;2"),"")</f>
        <v/>
      </c>
    </row>
    <row r="104" customFormat="false" ht="15" hidden="true" customHeight="true" outlineLevel="0" collapsed="false">
      <c r="A104" s="13" t="n">
        <v>46236</v>
      </c>
      <c r="B104" s="13" t="n">
        <f aca="false">DataInput[[#This Row],[Week Start]]+6</f>
        <v>46242</v>
      </c>
      <c r="C104" s="14" t="s">
        <v>140</v>
      </c>
      <c r="D104" s="15" t="n">
        <v>0.375</v>
      </c>
      <c r="E104" s="14" t="n">
        <v>154</v>
      </c>
      <c r="F104" s="14" t="n">
        <v>148</v>
      </c>
      <c r="G104" s="14" t="n">
        <v>146</v>
      </c>
      <c r="H104" s="14" t="n">
        <v>2</v>
      </c>
      <c r="I104" s="16" t="n">
        <v>0.0135135135135135</v>
      </c>
      <c r="J104" s="14" t="n">
        <v>0</v>
      </c>
      <c r="K104" s="16" t="n">
        <v>0</v>
      </c>
      <c r="L104" s="17" t="n">
        <v>0.119063926940639</v>
      </c>
      <c r="M104" s="18" t="n">
        <v>408.838926174497</v>
      </c>
      <c r="N104" s="17" t="n">
        <v>50.5</v>
      </c>
      <c r="O104" s="17" t="n">
        <v>56</v>
      </c>
      <c r="P104" s="17" t="n">
        <v>53.6816666666667</v>
      </c>
      <c r="Q104" s="14"/>
      <c r="R104" s="14"/>
      <c r="S104" s="19" t="str">
        <f aca="false">IF(L104&gt;2,COUNTIF($L$6:L104,"&gt;2"),"")</f>
        <v/>
      </c>
    </row>
    <row r="105" customFormat="false" ht="15" hidden="true" customHeight="true" outlineLevel="0" collapsed="false">
      <c r="A105" s="13" t="n">
        <v>46236</v>
      </c>
      <c r="B105" s="13" t="n">
        <f aca="false">DataInput[[#This Row],[Week Start]]+6</f>
        <v>46242</v>
      </c>
      <c r="C105" s="14" t="s">
        <v>140</v>
      </c>
      <c r="D105" s="15" t="n">
        <v>0.395833333333333</v>
      </c>
      <c r="E105" s="14" t="n">
        <v>175</v>
      </c>
      <c r="F105" s="14" t="n">
        <v>167</v>
      </c>
      <c r="G105" s="14" t="n">
        <v>145</v>
      </c>
      <c r="H105" s="14" t="n">
        <v>22</v>
      </c>
      <c r="I105" s="16" t="n">
        <v>0.131736526946108</v>
      </c>
      <c r="J105" s="14" t="n">
        <v>17</v>
      </c>
      <c r="K105" s="16" t="n">
        <v>0.101796407185629</v>
      </c>
      <c r="L105" s="17" t="n">
        <v>1.43137931034483</v>
      </c>
      <c r="M105" s="18" t="n">
        <v>410.727891156463</v>
      </c>
      <c r="N105" s="17" t="n">
        <v>59.5</v>
      </c>
      <c r="O105" s="17" t="n">
        <v>49.5</v>
      </c>
      <c r="P105" s="17" t="n">
        <v>51.1761111111111</v>
      </c>
      <c r="Q105" s="14"/>
      <c r="R105" s="14"/>
      <c r="S105" s="19" t="str">
        <f aca="false">IF(L105&gt;2,COUNTIF($L$6:L105,"&gt;2"),"")</f>
        <v/>
      </c>
    </row>
    <row r="106" customFormat="false" ht="15" hidden="false" customHeight="true" outlineLevel="0" collapsed="false">
      <c r="A106" s="13" t="n">
        <v>46236</v>
      </c>
      <c r="B106" s="13" t="n">
        <f aca="false">DataInput[[#This Row],[Week Start]]+6</f>
        <v>46242</v>
      </c>
      <c r="C106" s="14" t="s">
        <v>140</v>
      </c>
      <c r="D106" s="15" t="n">
        <v>0.416666666666667</v>
      </c>
      <c r="E106" s="14" t="n">
        <v>228</v>
      </c>
      <c r="F106" s="14" t="n">
        <v>280</v>
      </c>
      <c r="G106" s="14" t="n">
        <v>213</v>
      </c>
      <c r="H106" s="14" t="n">
        <v>67</v>
      </c>
      <c r="I106" s="16" t="n">
        <v>0.239285714285714</v>
      </c>
      <c r="J106" s="14" t="n">
        <v>62</v>
      </c>
      <c r="K106" s="16" t="n">
        <v>0.221428571428571</v>
      </c>
      <c r="L106" s="17" t="n">
        <v>6.00923317683881</v>
      </c>
      <c r="M106" s="18" t="n">
        <v>386.795348837209</v>
      </c>
      <c r="N106" s="17" t="n">
        <v>78</v>
      </c>
      <c r="O106" s="17" t="n">
        <v>74.5</v>
      </c>
      <c r="P106" s="17" t="n">
        <v>67.545</v>
      </c>
      <c r="Q106" s="14"/>
      <c r="R106" s="14"/>
      <c r="S106" s="19" t="n">
        <f aca="false">IF(L106&gt;2,COUNTIF($L$6:L106,"&gt;2"),"")</f>
        <v>46</v>
      </c>
    </row>
    <row r="107" customFormat="false" ht="15" hidden="false" customHeight="true" outlineLevel="0" collapsed="false">
      <c r="A107" s="13" t="n">
        <v>46236</v>
      </c>
      <c r="B107" s="13" t="n">
        <f aca="false">DataInput[[#This Row],[Week Start]]+6</f>
        <v>46242</v>
      </c>
      <c r="C107" s="14" t="s">
        <v>140</v>
      </c>
      <c r="D107" s="15" t="n">
        <v>0.4375</v>
      </c>
      <c r="E107" s="14" t="n">
        <v>262</v>
      </c>
      <c r="F107" s="14" t="n">
        <v>302</v>
      </c>
      <c r="G107" s="14" t="n">
        <v>256</v>
      </c>
      <c r="H107" s="14" t="n">
        <v>46</v>
      </c>
      <c r="I107" s="16" t="n">
        <v>0.152317880794702</v>
      </c>
      <c r="J107" s="14" t="n">
        <v>40</v>
      </c>
      <c r="K107" s="16" t="n">
        <v>0.132450331125828</v>
      </c>
      <c r="L107" s="17" t="n">
        <v>5.70071614583333</v>
      </c>
      <c r="M107" s="18" t="n">
        <v>449.815789473684</v>
      </c>
      <c r="N107" s="17" t="n">
        <v>80</v>
      </c>
      <c r="O107" s="17" t="n">
        <v>87.835</v>
      </c>
      <c r="P107" s="17" t="n">
        <v>83.3266666666667</v>
      </c>
      <c r="Q107" s="14"/>
      <c r="R107" s="14"/>
      <c r="S107" s="19" t="n">
        <f aca="false">IF(L107&gt;2,COUNTIF($L$6:L107,"&gt;2"),"")</f>
        <v>47</v>
      </c>
    </row>
    <row r="108" customFormat="false" ht="15" hidden="false" customHeight="true" outlineLevel="0" collapsed="false">
      <c r="A108" s="13" t="n">
        <v>46236</v>
      </c>
      <c r="B108" s="13" t="n">
        <f aca="false">DataInput[[#This Row],[Week Start]]+6</f>
        <v>46242</v>
      </c>
      <c r="C108" s="14" t="s">
        <v>140</v>
      </c>
      <c r="D108" s="15" t="n">
        <v>0.458333333333333</v>
      </c>
      <c r="E108" s="14" t="n">
        <v>261</v>
      </c>
      <c r="F108" s="14" t="n">
        <v>275</v>
      </c>
      <c r="G108" s="14" t="n">
        <v>262</v>
      </c>
      <c r="H108" s="14" t="n">
        <v>13</v>
      </c>
      <c r="I108" s="16" t="n">
        <v>0.0472727272727273</v>
      </c>
      <c r="J108" s="14" t="n">
        <v>8</v>
      </c>
      <c r="K108" s="16" t="n">
        <v>0.0290909090909091</v>
      </c>
      <c r="L108" s="17" t="n">
        <v>2.13613231552163</v>
      </c>
      <c r="M108" s="18" t="n">
        <v>469.328301886793</v>
      </c>
      <c r="N108" s="17" t="n">
        <v>81</v>
      </c>
      <c r="O108" s="17" t="n">
        <v>91</v>
      </c>
      <c r="P108" s="17" t="n">
        <v>89.02</v>
      </c>
      <c r="Q108" s="14"/>
      <c r="R108" s="14"/>
      <c r="S108" s="19" t="n">
        <f aca="false">IF(L108&gt;2,COUNTIF($L$6:L108,"&gt;2"),"")</f>
        <v>48</v>
      </c>
    </row>
    <row r="109" customFormat="false" ht="15" hidden="true" customHeight="true" outlineLevel="0" collapsed="false">
      <c r="A109" s="13" t="n">
        <v>46236</v>
      </c>
      <c r="B109" s="13" t="n">
        <f aca="false">DataInput[[#This Row],[Week Start]]+6</f>
        <v>46242</v>
      </c>
      <c r="C109" s="14" t="s">
        <v>140</v>
      </c>
      <c r="D109" s="15" t="n">
        <v>0.479166666666667</v>
      </c>
      <c r="E109" s="14" t="n">
        <v>240</v>
      </c>
      <c r="F109" s="14" t="n">
        <v>282</v>
      </c>
      <c r="G109" s="14" t="n">
        <v>267</v>
      </c>
      <c r="H109" s="14" t="n">
        <v>15</v>
      </c>
      <c r="I109" s="16" t="n">
        <v>0.0531914893617021</v>
      </c>
      <c r="J109" s="14" t="n">
        <v>6</v>
      </c>
      <c r="K109" s="16" t="n">
        <v>0.0212765957446809</v>
      </c>
      <c r="L109" s="17" t="n">
        <v>0.535892634207241</v>
      </c>
      <c r="M109" s="18" t="n">
        <v>367.530909090909</v>
      </c>
      <c r="N109" s="17" t="n">
        <v>79.5</v>
      </c>
      <c r="O109" s="17" t="n">
        <v>71.5</v>
      </c>
      <c r="P109" s="17" t="n">
        <v>75.7794444444444</v>
      </c>
      <c r="Q109" s="14"/>
      <c r="R109" s="14"/>
      <c r="S109" s="19" t="str">
        <f aca="false">IF(L109&gt;2,COUNTIF($L$6:L109,"&gt;2"),"")</f>
        <v/>
      </c>
    </row>
    <row r="110" customFormat="false" ht="15" hidden="true" customHeight="true" outlineLevel="0" collapsed="false">
      <c r="A110" s="13" t="n">
        <v>46236</v>
      </c>
      <c r="B110" s="13" t="n">
        <f aca="false">DataInput[[#This Row],[Week Start]]+6</f>
        <v>46242</v>
      </c>
      <c r="C110" s="14" t="s">
        <v>140</v>
      </c>
      <c r="D110" s="15" t="n">
        <v>0.5</v>
      </c>
      <c r="E110" s="14" t="n">
        <v>244</v>
      </c>
      <c r="F110" s="14" t="n">
        <v>254</v>
      </c>
      <c r="G110" s="14" t="n">
        <v>230</v>
      </c>
      <c r="H110" s="14" t="n">
        <v>24</v>
      </c>
      <c r="I110" s="16" t="n">
        <v>0.094488188976378</v>
      </c>
      <c r="J110" s="14" t="n">
        <v>17</v>
      </c>
      <c r="K110" s="16" t="n">
        <v>0.0669291338582677</v>
      </c>
      <c r="L110" s="17" t="n">
        <v>1.4104347826087</v>
      </c>
      <c r="M110" s="18" t="n">
        <v>449.259574468085</v>
      </c>
      <c r="N110" s="17" t="n">
        <v>81.5</v>
      </c>
      <c r="O110" s="17" t="n">
        <v>59</v>
      </c>
      <c r="P110" s="17" t="n">
        <v>61.3766666666667</v>
      </c>
      <c r="Q110" s="14"/>
      <c r="R110" s="14"/>
      <c r="S110" s="19" t="str">
        <f aca="false">IF(L110&gt;2,COUNTIF($L$6:L110,"&gt;2"),"")</f>
        <v/>
      </c>
    </row>
    <row r="111" customFormat="false" ht="15" hidden="false" customHeight="true" outlineLevel="0" collapsed="false">
      <c r="A111" s="13" t="n">
        <v>46236</v>
      </c>
      <c r="B111" s="13" t="n">
        <f aca="false">DataInput[[#This Row],[Week Start]]+6</f>
        <v>46242</v>
      </c>
      <c r="C111" s="14" t="s">
        <v>140</v>
      </c>
      <c r="D111" s="15" t="n">
        <v>0.520833333333333</v>
      </c>
      <c r="E111" s="14" t="n">
        <v>209</v>
      </c>
      <c r="F111" s="14" t="n">
        <v>251</v>
      </c>
      <c r="G111" s="14" t="n">
        <v>227</v>
      </c>
      <c r="H111" s="14" t="n">
        <v>24</v>
      </c>
      <c r="I111" s="16" t="n">
        <v>0.0956175298804781</v>
      </c>
      <c r="J111" s="14" t="n">
        <v>19</v>
      </c>
      <c r="K111" s="16" t="n">
        <v>0.0756972111553785</v>
      </c>
      <c r="L111" s="17" t="n">
        <v>2.93179148311307</v>
      </c>
      <c r="M111" s="18" t="n">
        <v>385.463829787234</v>
      </c>
      <c r="N111" s="17" t="n">
        <v>68</v>
      </c>
      <c r="O111" s="17" t="n">
        <v>62.33</v>
      </c>
      <c r="P111" s="17" t="n">
        <v>59.555</v>
      </c>
      <c r="Q111" s="14"/>
      <c r="R111" s="14"/>
      <c r="S111" s="19" t="n">
        <f aca="false">IF(L111&gt;2,COUNTIF($L$6:L111,"&gt;2"),"")</f>
        <v>49</v>
      </c>
    </row>
    <row r="112" customFormat="false" ht="15" hidden="true" customHeight="true" outlineLevel="0" collapsed="false">
      <c r="A112" s="13" t="n">
        <v>46236</v>
      </c>
      <c r="B112" s="13" t="n">
        <f aca="false">DataInput[[#This Row],[Week Start]]+6</f>
        <v>46242</v>
      </c>
      <c r="C112" s="14" t="s">
        <v>140</v>
      </c>
      <c r="D112" s="15" t="n">
        <v>0.541666666666667</v>
      </c>
      <c r="E112" s="14" t="n">
        <v>195</v>
      </c>
      <c r="F112" s="14" t="n">
        <v>210</v>
      </c>
      <c r="G112" s="14" t="n">
        <v>205</v>
      </c>
      <c r="H112" s="14" t="n">
        <v>5</v>
      </c>
      <c r="I112" s="16" t="n">
        <v>0.0238095238095238</v>
      </c>
      <c r="J112" s="14" t="n">
        <v>0</v>
      </c>
      <c r="K112" s="16" t="n">
        <v>0</v>
      </c>
      <c r="L112" s="17" t="n">
        <v>0.519918699186992</v>
      </c>
      <c r="M112" s="18" t="n">
        <v>378.009433962264</v>
      </c>
      <c r="N112" s="17" t="n">
        <v>69.5</v>
      </c>
      <c r="O112" s="17" t="n">
        <v>72.5</v>
      </c>
      <c r="P112" s="17" t="n">
        <v>66.6733333333333</v>
      </c>
      <c r="Q112" s="14"/>
      <c r="R112" s="14"/>
      <c r="S112" s="19" t="str">
        <f aca="false">IF(L112&gt;2,COUNTIF($L$6:L112,"&gt;2"),"")</f>
        <v/>
      </c>
    </row>
    <row r="113" customFormat="false" ht="15" hidden="true" customHeight="true" outlineLevel="0" collapsed="false">
      <c r="A113" s="13" t="n">
        <v>46236</v>
      </c>
      <c r="B113" s="13" t="n">
        <f aca="false">DataInput[[#This Row],[Week Start]]+6</f>
        <v>46242</v>
      </c>
      <c r="C113" s="14" t="s">
        <v>140</v>
      </c>
      <c r="D113" s="15" t="n">
        <v>0.5625</v>
      </c>
      <c r="E113" s="14" t="n">
        <v>221</v>
      </c>
      <c r="F113" s="14" t="n">
        <v>233</v>
      </c>
      <c r="G113" s="14" t="n">
        <v>227</v>
      </c>
      <c r="H113" s="14" t="n">
        <v>6</v>
      </c>
      <c r="I113" s="16" t="n">
        <v>0.0257510729613734</v>
      </c>
      <c r="J113" s="14" t="n">
        <v>1</v>
      </c>
      <c r="K113" s="16" t="n">
        <v>0.00429184549356223</v>
      </c>
      <c r="L113" s="17" t="n">
        <v>0.430543318649046</v>
      </c>
      <c r="M113" s="18" t="n">
        <v>407.323275862069</v>
      </c>
      <c r="N113" s="17" t="n">
        <v>77.5</v>
      </c>
      <c r="O113" s="17" t="n">
        <v>71.5</v>
      </c>
      <c r="P113" s="17" t="n">
        <v>63.3572222222222</v>
      </c>
      <c r="Q113" s="14"/>
      <c r="R113" s="14"/>
      <c r="S113" s="19" t="str">
        <f aca="false">IF(L113&gt;2,COUNTIF($L$6:L113,"&gt;2"),"")</f>
        <v/>
      </c>
    </row>
    <row r="114" customFormat="false" ht="15" hidden="true" customHeight="true" outlineLevel="0" collapsed="false">
      <c r="A114" s="13" t="n">
        <v>46236</v>
      </c>
      <c r="B114" s="13" t="n">
        <f aca="false">DataInput[[#This Row],[Week Start]]+6</f>
        <v>46242</v>
      </c>
      <c r="C114" s="14" t="s">
        <v>140</v>
      </c>
      <c r="D114" s="15" t="n">
        <v>0.583333333333333</v>
      </c>
      <c r="E114" s="14" t="n">
        <v>209</v>
      </c>
      <c r="F114" s="14" t="n">
        <v>228</v>
      </c>
      <c r="G114" s="14" t="n">
        <v>214</v>
      </c>
      <c r="H114" s="14" t="n">
        <v>14</v>
      </c>
      <c r="I114" s="16" t="n">
        <v>0.0614035087719298</v>
      </c>
      <c r="J114" s="14" t="n">
        <v>7</v>
      </c>
      <c r="K114" s="16" t="n">
        <v>0.0307017543859649</v>
      </c>
      <c r="L114" s="17" t="n">
        <v>1.58434579439252</v>
      </c>
      <c r="M114" s="18" t="n">
        <v>428.284403669725</v>
      </c>
      <c r="N114" s="17" t="n">
        <v>68</v>
      </c>
      <c r="O114" s="17" t="n">
        <v>66</v>
      </c>
      <c r="P114" s="17" t="n">
        <v>64.6844444444444</v>
      </c>
      <c r="Q114" s="14"/>
      <c r="R114" s="14"/>
      <c r="S114" s="19" t="str">
        <f aca="false">IF(L114&gt;2,COUNTIF($L$6:L114,"&gt;2"),"")</f>
        <v/>
      </c>
    </row>
    <row r="115" customFormat="false" ht="15" hidden="true" customHeight="true" outlineLevel="0" collapsed="false">
      <c r="A115" s="13" t="n">
        <v>46236</v>
      </c>
      <c r="B115" s="13" t="n">
        <f aca="false">DataInput[[#This Row],[Week Start]]+6</f>
        <v>46242</v>
      </c>
      <c r="C115" s="14" t="s">
        <v>140</v>
      </c>
      <c r="D115" s="15" t="n">
        <v>0.604166666666667</v>
      </c>
      <c r="E115" s="14" t="n">
        <v>196</v>
      </c>
      <c r="F115" s="14" t="n">
        <v>214</v>
      </c>
      <c r="G115" s="14" t="n">
        <v>212</v>
      </c>
      <c r="H115" s="14" t="n">
        <v>2</v>
      </c>
      <c r="I115" s="16" t="n">
        <v>0.00934579439252336</v>
      </c>
      <c r="J115" s="14" t="n">
        <v>0</v>
      </c>
      <c r="K115" s="16" t="n">
        <v>0</v>
      </c>
      <c r="L115" s="17" t="n">
        <v>0.261399371069182</v>
      </c>
      <c r="M115" s="18" t="n">
        <v>402.279069767442</v>
      </c>
      <c r="N115" s="17" t="n">
        <v>67</v>
      </c>
      <c r="O115" s="17" t="n">
        <v>66.665</v>
      </c>
      <c r="P115" s="17" t="n">
        <v>66.5588888888889</v>
      </c>
      <c r="Q115" s="14"/>
      <c r="R115" s="14"/>
      <c r="S115" s="19" t="str">
        <f aca="false">IF(L115&gt;2,COUNTIF($L$6:L115,"&gt;2"),"")</f>
        <v/>
      </c>
    </row>
    <row r="116" customFormat="false" ht="15" hidden="true" customHeight="true" outlineLevel="0" collapsed="false">
      <c r="A116" s="13" t="n">
        <v>46236</v>
      </c>
      <c r="B116" s="13" t="n">
        <f aca="false">DataInput[[#This Row],[Week Start]]+6</f>
        <v>46242</v>
      </c>
      <c r="C116" s="14" t="s">
        <v>140</v>
      </c>
      <c r="D116" s="15" t="n">
        <v>0.625</v>
      </c>
      <c r="E116" s="14" t="n">
        <v>229</v>
      </c>
      <c r="F116" s="14" t="n">
        <v>200</v>
      </c>
      <c r="G116" s="14" t="n">
        <v>196</v>
      </c>
      <c r="H116" s="14" t="n">
        <v>4</v>
      </c>
      <c r="I116" s="16" t="n">
        <v>0.02</v>
      </c>
      <c r="J116" s="14" t="n">
        <v>0</v>
      </c>
      <c r="K116" s="16" t="n">
        <v>0</v>
      </c>
      <c r="L116" s="17" t="n">
        <v>0.120408163265306</v>
      </c>
      <c r="M116" s="18" t="n">
        <v>461.776119402985</v>
      </c>
      <c r="N116" s="17" t="n">
        <v>80.5</v>
      </c>
      <c r="O116" s="17" t="n">
        <v>73.335</v>
      </c>
      <c r="P116" s="17" t="n">
        <v>68.4327777777778</v>
      </c>
      <c r="Q116" s="14"/>
      <c r="R116" s="14"/>
      <c r="S116" s="19" t="str">
        <f aca="false">IF(L116&gt;2,COUNTIF($L$6:L116,"&gt;2"),"")</f>
        <v/>
      </c>
    </row>
    <row r="117" customFormat="false" ht="15" hidden="true" customHeight="true" outlineLevel="0" collapsed="false">
      <c r="A117" s="13" t="n">
        <v>46236</v>
      </c>
      <c r="B117" s="13" t="n">
        <f aca="false">DataInput[[#This Row],[Week Start]]+6</f>
        <v>46242</v>
      </c>
      <c r="C117" s="14" t="s">
        <v>140</v>
      </c>
      <c r="D117" s="15" t="n">
        <v>0.645833333333333</v>
      </c>
      <c r="E117" s="14" t="n">
        <v>229</v>
      </c>
      <c r="F117" s="14" t="n">
        <v>219</v>
      </c>
      <c r="G117" s="14" t="n">
        <v>210</v>
      </c>
      <c r="H117" s="14" t="n">
        <v>9</v>
      </c>
      <c r="I117" s="16" t="n">
        <v>0.0410958904109589</v>
      </c>
      <c r="J117" s="14" t="n">
        <v>0</v>
      </c>
      <c r="K117" s="16" t="n">
        <v>0</v>
      </c>
      <c r="L117" s="17" t="n">
        <v>0.115396825396825</v>
      </c>
      <c r="M117" s="18" t="n">
        <v>424.450704225352</v>
      </c>
      <c r="N117" s="17" t="n">
        <v>69.5</v>
      </c>
      <c r="O117" s="17" t="n">
        <v>86</v>
      </c>
      <c r="P117" s="17" t="n">
        <v>80.6305555555556</v>
      </c>
      <c r="Q117" s="14"/>
      <c r="R117" s="14"/>
      <c r="S117" s="19" t="str">
        <f aca="false">IF(L117&gt;2,COUNTIF($L$6:L117,"&gt;2"),"")</f>
        <v/>
      </c>
    </row>
    <row r="118" customFormat="false" ht="15" hidden="true" customHeight="true" outlineLevel="0" collapsed="false">
      <c r="A118" s="13" t="n">
        <v>46236</v>
      </c>
      <c r="B118" s="13" t="n">
        <f aca="false">DataInput[[#This Row],[Week Start]]+6</f>
        <v>46242</v>
      </c>
      <c r="C118" s="14" t="s">
        <v>140</v>
      </c>
      <c r="D118" s="15" t="n">
        <v>0.666666666666667</v>
      </c>
      <c r="E118" s="14" t="n">
        <v>225</v>
      </c>
      <c r="F118" s="14" t="n">
        <v>251</v>
      </c>
      <c r="G118" s="14" t="n">
        <v>247</v>
      </c>
      <c r="H118" s="14" t="n">
        <v>4</v>
      </c>
      <c r="I118" s="16" t="n">
        <v>0.0159362549800797</v>
      </c>
      <c r="J118" s="14" t="n">
        <v>0</v>
      </c>
      <c r="K118" s="16" t="n">
        <v>0</v>
      </c>
      <c r="L118" s="17" t="n">
        <v>0.185695006747638</v>
      </c>
      <c r="M118" s="18" t="n">
        <v>455.623529411765</v>
      </c>
      <c r="N118" s="17" t="n">
        <v>71.5</v>
      </c>
      <c r="O118" s="17" t="n">
        <v>84</v>
      </c>
      <c r="P118" s="17" t="n">
        <v>77.6227777777778</v>
      </c>
      <c r="Q118" s="14"/>
      <c r="R118" s="14"/>
      <c r="S118" s="19" t="str">
        <f aca="false">IF(L118&gt;2,COUNTIF($L$6:L118,"&gt;2"),"")</f>
        <v/>
      </c>
    </row>
    <row r="119" customFormat="false" ht="15" hidden="true" customHeight="true" outlineLevel="0" collapsed="false">
      <c r="A119" s="13" t="n">
        <v>46236</v>
      </c>
      <c r="B119" s="13" t="n">
        <f aca="false">DataInput[[#This Row],[Week Start]]+6</f>
        <v>46242</v>
      </c>
      <c r="C119" s="14" t="s">
        <v>140</v>
      </c>
      <c r="D119" s="15" t="n">
        <v>0.6875</v>
      </c>
      <c r="E119" s="14" t="n">
        <v>214</v>
      </c>
      <c r="F119" s="14" t="n">
        <v>230</v>
      </c>
      <c r="G119" s="14" t="n">
        <v>220</v>
      </c>
      <c r="H119" s="14" t="n">
        <v>10</v>
      </c>
      <c r="I119" s="16" t="n">
        <v>0.0434782608695652</v>
      </c>
      <c r="J119" s="14" t="n">
        <v>0</v>
      </c>
      <c r="K119" s="16" t="n">
        <v>0</v>
      </c>
      <c r="L119" s="17" t="n">
        <v>0.303787878787879</v>
      </c>
      <c r="M119" s="18" t="n">
        <v>458.730088495575</v>
      </c>
      <c r="N119" s="17" t="n">
        <v>67.5</v>
      </c>
      <c r="O119" s="17" t="n">
        <v>79.665</v>
      </c>
      <c r="P119" s="17" t="n">
        <v>78.3505555555556</v>
      </c>
      <c r="Q119" s="14"/>
      <c r="R119" s="14"/>
      <c r="S119" s="19" t="str">
        <f aca="false">IF(L119&gt;2,COUNTIF($L$6:L119,"&gt;2"),"")</f>
        <v/>
      </c>
    </row>
    <row r="120" customFormat="false" ht="15" hidden="true" customHeight="true" outlineLevel="0" collapsed="false">
      <c r="A120" s="13" t="n">
        <v>46236</v>
      </c>
      <c r="B120" s="13" t="n">
        <f aca="false">DataInput[[#This Row],[Week Start]]+6</f>
        <v>46242</v>
      </c>
      <c r="C120" s="14" t="s">
        <v>140</v>
      </c>
      <c r="D120" s="15" t="n">
        <v>0.708333333333333</v>
      </c>
      <c r="E120" s="14" t="n">
        <v>180</v>
      </c>
      <c r="F120" s="14" t="n">
        <v>202</v>
      </c>
      <c r="G120" s="14" t="n">
        <v>169</v>
      </c>
      <c r="H120" s="14" t="n">
        <v>33</v>
      </c>
      <c r="I120" s="16" t="n">
        <v>0.163366336633663</v>
      </c>
      <c r="J120" s="14" t="n">
        <v>25</v>
      </c>
      <c r="K120" s="16" t="n">
        <v>0.123762376237624</v>
      </c>
      <c r="L120" s="17" t="n">
        <v>1.53826429980276</v>
      </c>
      <c r="M120" s="18" t="n">
        <v>449.356725146199</v>
      </c>
      <c r="N120" s="17" t="n">
        <v>61</v>
      </c>
      <c r="O120" s="17" t="n">
        <v>38.5</v>
      </c>
      <c r="P120" s="17" t="n">
        <v>40.9288888888889</v>
      </c>
      <c r="Q120" s="14"/>
      <c r="R120" s="14"/>
      <c r="S120" s="19" t="str">
        <f aca="false">IF(L120&gt;2,COUNTIF($L$6:L120,"&gt;2"),"")</f>
        <v/>
      </c>
    </row>
    <row r="121" customFormat="false" ht="15" hidden="false" customHeight="true" outlineLevel="0" collapsed="false">
      <c r="A121" s="13" t="n">
        <v>46236</v>
      </c>
      <c r="B121" s="13" t="n">
        <f aca="false">DataInput[[#This Row],[Week Start]]+6</f>
        <v>46242</v>
      </c>
      <c r="C121" s="14" t="s">
        <v>140</v>
      </c>
      <c r="D121" s="15" t="n">
        <v>0.729166666666667</v>
      </c>
      <c r="E121" s="14" t="n">
        <v>159</v>
      </c>
      <c r="F121" s="14" t="n">
        <v>179</v>
      </c>
      <c r="G121" s="14" t="n">
        <v>114</v>
      </c>
      <c r="H121" s="14" t="n">
        <v>65</v>
      </c>
      <c r="I121" s="16" t="n">
        <v>0.363128491620112</v>
      </c>
      <c r="J121" s="14" t="n">
        <v>61</v>
      </c>
      <c r="K121" s="16" t="n">
        <v>0.340782122905028</v>
      </c>
      <c r="L121" s="17" t="n">
        <v>7.22368421052632</v>
      </c>
      <c r="M121" s="18" t="n">
        <v>480.940170940171</v>
      </c>
      <c r="N121" s="17" t="n">
        <v>52.5</v>
      </c>
      <c r="O121" s="17" t="n">
        <v>36.335</v>
      </c>
      <c r="P121" s="17" t="n">
        <v>31.5472222222222</v>
      </c>
      <c r="Q121" s="14"/>
      <c r="R121" s="14"/>
      <c r="S121" s="19" t="n">
        <f aca="false">IF(L121&gt;2,COUNTIF($L$6:L121,"&gt;2"),"")</f>
        <v>50</v>
      </c>
    </row>
    <row r="122" customFormat="false" ht="15" hidden="false" customHeight="true" outlineLevel="0" collapsed="false">
      <c r="A122" s="13" t="n">
        <v>46236</v>
      </c>
      <c r="B122" s="13" t="n">
        <f aca="false">DataInput[[#This Row],[Week Start]]+6</f>
        <v>46242</v>
      </c>
      <c r="C122" s="14" t="s">
        <v>140</v>
      </c>
      <c r="D122" s="15" t="n">
        <v>0.75</v>
      </c>
      <c r="E122" s="14" t="n">
        <v>135</v>
      </c>
      <c r="F122" s="14" t="n">
        <v>144</v>
      </c>
      <c r="G122" s="14" t="n">
        <v>130</v>
      </c>
      <c r="H122" s="14" t="n">
        <v>14</v>
      </c>
      <c r="I122" s="16" t="n">
        <v>0.0972222222222222</v>
      </c>
      <c r="J122" s="14" t="n">
        <v>12</v>
      </c>
      <c r="K122" s="16" t="n">
        <v>0.0833333333333333</v>
      </c>
      <c r="L122" s="17" t="n">
        <v>6.34628205128205</v>
      </c>
      <c r="M122" s="18" t="n">
        <v>426.154411764706</v>
      </c>
      <c r="N122" s="17" t="n">
        <v>45</v>
      </c>
      <c r="O122" s="17" t="n">
        <v>36</v>
      </c>
      <c r="P122" s="17" t="n">
        <v>34.6316666666667</v>
      </c>
      <c r="Q122" s="14"/>
      <c r="R122" s="14"/>
      <c r="S122" s="19" t="n">
        <f aca="false">IF(L122&gt;2,COUNTIF($L$6:L122,"&gt;2"),"")</f>
        <v>51</v>
      </c>
    </row>
    <row r="123" customFormat="false" ht="15" hidden="true" customHeight="true" outlineLevel="0" collapsed="false">
      <c r="A123" s="13" t="n">
        <v>46236</v>
      </c>
      <c r="B123" s="13" t="n">
        <f aca="false">DataInput[[#This Row],[Week Start]]+6</f>
        <v>46242</v>
      </c>
      <c r="C123" s="14" t="s">
        <v>140</v>
      </c>
      <c r="D123" s="15" t="n">
        <v>0.770833333333333</v>
      </c>
      <c r="E123" s="14" t="n">
        <v>107</v>
      </c>
      <c r="F123" s="14" t="n">
        <v>124</v>
      </c>
      <c r="G123" s="14" t="n">
        <v>116</v>
      </c>
      <c r="H123" s="14" t="n">
        <v>8</v>
      </c>
      <c r="I123" s="16" t="n">
        <v>0.0645161290322581</v>
      </c>
      <c r="J123" s="14" t="n">
        <v>4</v>
      </c>
      <c r="K123" s="16" t="n">
        <v>0.032258064516129</v>
      </c>
      <c r="L123" s="17" t="n">
        <v>1.7</v>
      </c>
      <c r="M123" s="18" t="n">
        <v>469.743801652893</v>
      </c>
      <c r="N123" s="17" t="n">
        <v>36.5</v>
      </c>
      <c r="O123" s="17" t="n">
        <v>36.665</v>
      </c>
      <c r="P123" s="17" t="n">
        <v>36.2238888888889</v>
      </c>
      <c r="Q123" s="14"/>
      <c r="R123" s="14"/>
      <c r="S123" s="19" t="str">
        <f aca="false">IF(L123&gt;2,COUNTIF($L$6:L123,"&gt;2"),"")</f>
        <v/>
      </c>
    </row>
    <row r="124" customFormat="false" ht="15" hidden="true" customHeight="true" outlineLevel="0" collapsed="false">
      <c r="A124" s="13" t="n">
        <v>46236</v>
      </c>
      <c r="B124" s="13" t="n">
        <f aca="false">DataInput[[#This Row],[Week Start]]+6</f>
        <v>46242</v>
      </c>
      <c r="C124" s="14" t="s">
        <v>140</v>
      </c>
      <c r="D124" s="15" t="n">
        <v>0.791666666666667</v>
      </c>
      <c r="E124" s="14" t="n">
        <v>32</v>
      </c>
      <c r="F124" s="14" t="n">
        <v>35</v>
      </c>
      <c r="G124" s="14" t="n">
        <v>35</v>
      </c>
      <c r="H124" s="14" t="n">
        <v>0</v>
      </c>
      <c r="I124" s="16" t="n">
        <v>0</v>
      </c>
      <c r="J124" s="14" t="n">
        <v>0</v>
      </c>
      <c r="K124" s="16" t="n">
        <v>0</v>
      </c>
      <c r="L124" s="17" t="n">
        <v>1.23714285714286</v>
      </c>
      <c r="M124" s="18" t="n">
        <v>577.918918918919</v>
      </c>
      <c r="N124" s="17" t="n">
        <v>17</v>
      </c>
      <c r="O124" s="17" t="n">
        <v>2.5</v>
      </c>
      <c r="P124" s="17" t="n">
        <v>6.275</v>
      </c>
      <c r="Q124" s="14"/>
      <c r="R124" s="14"/>
      <c r="S124" s="19" t="str">
        <f aca="false">IF(L124&gt;2,COUNTIF($L$6:L124,"&gt;2"),"")</f>
        <v/>
      </c>
    </row>
    <row r="125" customFormat="false" ht="15" hidden="true" customHeight="true" outlineLevel="0" collapsed="false">
      <c r="A125" s="13" t="n">
        <v>46236</v>
      </c>
      <c r="B125" s="13" t="n">
        <f aca="false">DataInput[[#This Row],[Week Start]]+6</f>
        <v>46242</v>
      </c>
      <c r="C125" s="14" t="s">
        <v>141</v>
      </c>
      <c r="D125" s="15" t="n">
        <v>0.375</v>
      </c>
      <c r="E125" s="14" t="n">
        <v>66</v>
      </c>
      <c r="F125" s="14" t="n">
        <v>79</v>
      </c>
      <c r="G125" s="14" t="n">
        <v>78</v>
      </c>
      <c r="H125" s="14" t="n">
        <v>1</v>
      </c>
      <c r="I125" s="16" t="n">
        <v>0.0126582278481013</v>
      </c>
      <c r="J125" s="14" t="n">
        <v>0</v>
      </c>
      <c r="K125" s="16" t="n">
        <v>0</v>
      </c>
      <c r="L125" s="17" t="n">
        <v>0.181196581196581</v>
      </c>
      <c r="M125" s="18" t="n">
        <v>379.512820512821</v>
      </c>
      <c r="N125" s="17" t="n">
        <v>22</v>
      </c>
      <c r="O125" s="17" t="n">
        <v>38.335</v>
      </c>
      <c r="P125" s="17" t="n">
        <v>35.8172222222222</v>
      </c>
      <c r="Q125" s="14"/>
      <c r="R125" s="14"/>
      <c r="S125" s="19" t="str">
        <f aca="false">IF(L125&gt;2,COUNTIF($L$6:L125,"&gt;2"),"")</f>
        <v/>
      </c>
    </row>
    <row r="126" customFormat="false" ht="15" hidden="true" customHeight="true" outlineLevel="0" collapsed="false">
      <c r="A126" s="13" t="n">
        <v>46236</v>
      </c>
      <c r="B126" s="13" t="n">
        <f aca="false">DataInput[[#This Row],[Week Start]]+6</f>
        <v>46242</v>
      </c>
      <c r="C126" s="14" t="s">
        <v>141</v>
      </c>
      <c r="D126" s="15" t="n">
        <v>0.395833333333333</v>
      </c>
      <c r="E126" s="14" t="n">
        <v>71</v>
      </c>
      <c r="F126" s="14" t="n">
        <v>79</v>
      </c>
      <c r="G126" s="14" t="n">
        <v>79</v>
      </c>
      <c r="H126" s="14" t="n">
        <v>0</v>
      </c>
      <c r="I126" s="16" t="n">
        <v>0</v>
      </c>
      <c r="J126" s="14" t="n">
        <v>0</v>
      </c>
      <c r="K126" s="16" t="n">
        <v>0</v>
      </c>
      <c r="L126" s="17" t="n">
        <v>0.131645569620253</v>
      </c>
      <c r="M126" s="18" t="n">
        <v>452.455696202532</v>
      </c>
      <c r="N126" s="17" t="n">
        <v>27</v>
      </c>
      <c r="O126" s="17" t="n">
        <v>41</v>
      </c>
      <c r="P126" s="17" t="n">
        <v>40.9961111111111</v>
      </c>
      <c r="Q126" s="14"/>
      <c r="R126" s="14"/>
      <c r="S126" s="19" t="str">
        <f aca="false">IF(L126&gt;2,COUNTIF($L$6:L126,"&gt;2"),"")</f>
        <v/>
      </c>
    </row>
    <row r="127" customFormat="false" ht="15" hidden="true" customHeight="true" outlineLevel="0" collapsed="false">
      <c r="A127" s="13" t="n">
        <v>46236</v>
      </c>
      <c r="B127" s="13" t="n">
        <f aca="false">DataInput[[#This Row],[Week Start]]+6</f>
        <v>46242</v>
      </c>
      <c r="C127" s="14" t="s">
        <v>141</v>
      </c>
      <c r="D127" s="15" t="n">
        <v>0.416666666666667</v>
      </c>
      <c r="E127" s="14" t="n">
        <v>94</v>
      </c>
      <c r="F127" s="14" t="n">
        <v>121</v>
      </c>
      <c r="G127" s="14" t="n">
        <v>119</v>
      </c>
      <c r="H127" s="14" t="n">
        <v>2</v>
      </c>
      <c r="I127" s="16" t="n">
        <v>0.0165289256198347</v>
      </c>
      <c r="J127" s="14" t="n">
        <v>0</v>
      </c>
      <c r="K127" s="16" t="n">
        <v>0</v>
      </c>
      <c r="L127" s="17" t="n">
        <v>0.21218487394958</v>
      </c>
      <c r="M127" s="18" t="n">
        <v>463.475409836066</v>
      </c>
      <c r="N127" s="17" t="n">
        <v>34.5</v>
      </c>
      <c r="O127" s="17" t="n">
        <v>40</v>
      </c>
      <c r="P127" s="17" t="n">
        <v>39.6455555555556</v>
      </c>
      <c r="Q127" s="14"/>
      <c r="R127" s="14"/>
      <c r="S127" s="19" t="str">
        <f aca="false">IF(L127&gt;2,COUNTIF($L$6:L127,"&gt;2"),"")</f>
        <v/>
      </c>
    </row>
    <row r="128" customFormat="false" ht="15" hidden="true" customHeight="true" outlineLevel="0" collapsed="false">
      <c r="A128" s="13" t="n">
        <v>46236</v>
      </c>
      <c r="B128" s="13" t="n">
        <f aca="false">DataInput[[#This Row],[Week Start]]+6</f>
        <v>46242</v>
      </c>
      <c r="C128" s="14" t="s">
        <v>141</v>
      </c>
      <c r="D128" s="15" t="n">
        <v>0.4375</v>
      </c>
      <c r="E128" s="14" t="n">
        <v>104</v>
      </c>
      <c r="F128" s="14" t="n">
        <v>108</v>
      </c>
      <c r="G128" s="14" t="n">
        <v>108</v>
      </c>
      <c r="H128" s="14" t="n">
        <v>0</v>
      </c>
      <c r="I128" s="16" t="n">
        <v>0</v>
      </c>
      <c r="J128" s="14" t="n">
        <v>0</v>
      </c>
      <c r="K128" s="16" t="n">
        <v>0</v>
      </c>
      <c r="L128" s="17" t="n">
        <v>0.289969135802469</v>
      </c>
      <c r="M128" s="18" t="n">
        <v>485.275229357798</v>
      </c>
      <c r="N128" s="17" t="n">
        <v>39</v>
      </c>
      <c r="O128" s="17" t="n">
        <v>31</v>
      </c>
      <c r="P128" s="17" t="n">
        <v>33.3711111111111</v>
      </c>
      <c r="Q128" s="14"/>
      <c r="R128" s="14"/>
      <c r="S128" s="19" t="str">
        <f aca="false">IF(L128&gt;2,COUNTIF($L$6:L128,"&gt;2"),"")</f>
        <v/>
      </c>
    </row>
    <row r="129" customFormat="false" ht="15" hidden="true" customHeight="true" outlineLevel="0" collapsed="false">
      <c r="A129" s="13" t="n">
        <v>46236</v>
      </c>
      <c r="B129" s="13" t="n">
        <f aca="false">DataInput[[#This Row],[Week Start]]+6</f>
        <v>46242</v>
      </c>
      <c r="C129" s="14" t="s">
        <v>141</v>
      </c>
      <c r="D129" s="15" t="n">
        <v>0.458333333333333</v>
      </c>
      <c r="E129" s="14" t="n">
        <v>95</v>
      </c>
      <c r="F129" s="14" t="n">
        <v>102</v>
      </c>
      <c r="G129" s="14" t="n">
        <v>99</v>
      </c>
      <c r="H129" s="14" t="n">
        <v>3</v>
      </c>
      <c r="I129" s="16" t="n">
        <v>0.0294117647058824</v>
      </c>
      <c r="J129" s="14" t="n">
        <v>0</v>
      </c>
      <c r="K129" s="16" t="n">
        <v>0</v>
      </c>
      <c r="L129" s="17" t="n">
        <v>0.296127946127946</v>
      </c>
      <c r="M129" s="18" t="n">
        <v>457.818181818182</v>
      </c>
      <c r="N129" s="17" t="n">
        <v>35</v>
      </c>
      <c r="O129" s="17" t="n">
        <v>31.5</v>
      </c>
      <c r="P129" s="17" t="n">
        <v>28.27</v>
      </c>
      <c r="Q129" s="14"/>
      <c r="R129" s="14"/>
      <c r="S129" s="19" t="str">
        <f aca="false">IF(L129&gt;2,COUNTIF($L$6:L129,"&gt;2"),"")</f>
        <v/>
      </c>
    </row>
    <row r="130" customFormat="false" ht="15" hidden="true" customHeight="true" outlineLevel="0" collapsed="false">
      <c r="A130" s="13" t="n">
        <v>46236</v>
      </c>
      <c r="B130" s="13" t="n">
        <f aca="false">DataInput[[#This Row],[Week Start]]+6</f>
        <v>46242</v>
      </c>
      <c r="C130" s="14" t="s">
        <v>141</v>
      </c>
      <c r="D130" s="15" t="n">
        <v>0.479166666666667</v>
      </c>
      <c r="E130" s="14" t="n">
        <v>106</v>
      </c>
      <c r="F130" s="14" t="n">
        <v>133</v>
      </c>
      <c r="G130" s="14" t="n">
        <v>123</v>
      </c>
      <c r="H130" s="14" t="n">
        <v>10</v>
      </c>
      <c r="I130" s="16" t="n">
        <v>0.075187969924812</v>
      </c>
      <c r="J130" s="14" t="n">
        <v>7</v>
      </c>
      <c r="K130" s="16" t="n">
        <v>0.0526315789473684</v>
      </c>
      <c r="L130" s="17" t="n">
        <v>1.64986449864499</v>
      </c>
      <c r="M130" s="18" t="n">
        <v>459.741935483871</v>
      </c>
      <c r="N130" s="17" t="n">
        <v>37</v>
      </c>
      <c r="O130" s="17" t="n">
        <v>35.5</v>
      </c>
      <c r="P130" s="17" t="n">
        <v>34.9827777777778</v>
      </c>
      <c r="Q130" s="14"/>
      <c r="R130" s="14"/>
      <c r="S130" s="19" t="str">
        <f aca="false">IF(L130&gt;2,COUNTIF($L$6:L130,"&gt;2"),"")</f>
        <v/>
      </c>
    </row>
    <row r="131" customFormat="false" ht="15" hidden="true" customHeight="true" outlineLevel="0" collapsed="false">
      <c r="A131" s="13" t="n">
        <v>46236</v>
      </c>
      <c r="B131" s="13" t="n">
        <f aca="false">DataInput[[#This Row],[Week Start]]+6</f>
        <v>46242</v>
      </c>
      <c r="C131" s="14" t="s">
        <v>141</v>
      </c>
      <c r="D131" s="15" t="n">
        <v>0.5</v>
      </c>
      <c r="E131" s="14" t="n">
        <v>101</v>
      </c>
      <c r="F131" s="14" t="n">
        <v>121</v>
      </c>
      <c r="G131" s="14" t="n">
        <v>118</v>
      </c>
      <c r="H131" s="14" t="n">
        <v>3</v>
      </c>
      <c r="I131" s="16" t="n">
        <v>0.0247933884297521</v>
      </c>
      <c r="J131" s="14" t="n">
        <v>1</v>
      </c>
      <c r="K131" s="16" t="n">
        <v>0.00826446280991736</v>
      </c>
      <c r="L131" s="17" t="n">
        <v>1.88601694915254</v>
      </c>
      <c r="M131" s="18" t="n">
        <v>453.908333333333</v>
      </c>
      <c r="N131" s="17" t="n">
        <v>35</v>
      </c>
      <c r="O131" s="17" t="n">
        <v>41</v>
      </c>
      <c r="P131" s="17" t="n">
        <v>38.1077777777778</v>
      </c>
      <c r="Q131" s="14"/>
      <c r="R131" s="14"/>
      <c r="S131" s="19" t="str">
        <f aca="false">IF(L131&gt;2,COUNTIF($L$6:L131,"&gt;2"),"")</f>
        <v/>
      </c>
    </row>
    <row r="132" customFormat="false" ht="15" hidden="true" customHeight="true" outlineLevel="0" collapsed="false">
      <c r="A132" s="13" t="n">
        <v>46236</v>
      </c>
      <c r="B132" s="13" t="n">
        <f aca="false">DataInput[[#This Row],[Week Start]]+6</f>
        <v>46242</v>
      </c>
      <c r="C132" s="14" t="s">
        <v>141</v>
      </c>
      <c r="D132" s="15" t="n">
        <v>0.520833333333333</v>
      </c>
      <c r="E132" s="14" t="n">
        <v>94</v>
      </c>
      <c r="F132" s="14" t="n">
        <v>127</v>
      </c>
      <c r="G132" s="14" t="n">
        <v>121</v>
      </c>
      <c r="H132" s="14" t="n">
        <v>6</v>
      </c>
      <c r="I132" s="16" t="n">
        <v>0.047244094488189</v>
      </c>
      <c r="J132" s="14" t="n">
        <v>2</v>
      </c>
      <c r="K132" s="16" t="n">
        <v>0.015748031496063</v>
      </c>
      <c r="L132" s="17" t="n">
        <v>1.02727272727273</v>
      </c>
      <c r="M132" s="18" t="n">
        <v>477.048387096774</v>
      </c>
      <c r="N132" s="17" t="n">
        <v>36</v>
      </c>
      <c r="O132" s="17" t="n">
        <v>31</v>
      </c>
      <c r="P132" s="17" t="n">
        <v>31.8433333333333</v>
      </c>
      <c r="Q132" s="14"/>
      <c r="R132" s="14"/>
      <c r="S132" s="19" t="str">
        <f aca="false">IF(L132&gt;2,COUNTIF($L$6:L132,"&gt;2"),"")</f>
        <v/>
      </c>
    </row>
    <row r="133" customFormat="false" ht="15" hidden="true" customHeight="true" outlineLevel="0" collapsed="false">
      <c r="A133" s="13" t="n">
        <v>46236</v>
      </c>
      <c r="B133" s="13" t="n">
        <f aca="false">DataInput[[#This Row],[Week Start]]+6</f>
        <v>46242</v>
      </c>
      <c r="C133" s="14" t="s">
        <v>141</v>
      </c>
      <c r="D133" s="15" t="n">
        <v>0.541666666666667</v>
      </c>
      <c r="E133" s="14" t="n">
        <v>87</v>
      </c>
      <c r="F133" s="14" t="n">
        <v>103</v>
      </c>
      <c r="G133" s="14" t="n">
        <v>94</v>
      </c>
      <c r="H133" s="14" t="n">
        <v>9</v>
      </c>
      <c r="I133" s="16" t="n">
        <v>0.087378640776699</v>
      </c>
      <c r="J133" s="14" t="n">
        <v>6</v>
      </c>
      <c r="K133" s="16" t="n">
        <v>0.058252427184466</v>
      </c>
      <c r="L133" s="17" t="n">
        <v>1.15283687943262</v>
      </c>
      <c r="M133" s="18" t="n">
        <v>478.051546391753</v>
      </c>
      <c r="N133" s="17" t="n">
        <v>30.5</v>
      </c>
      <c r="O133" s="17" t="n">
        <v>24</v>
      </c>
      <c r="P133" s="17" t="n">
        <v>25.2811111111111</v>
      </c>
      <c r="Q133" s="14"/>
      <c r="R133" s="14"/>
      <c r="S133" s="19" t="str">
        <f aca="false">IF(L133&gt;2,COUNTIF($L$6:L133,"&gt;2"),"")</f>
        <v/>
      </c>
    </row>
    <row r="134" customFormat="false" ht="15" hidden="false" customHeight="true" outlineLevel="0" collapsed="false">
      <c r="A134" s="13" t="n">
        <v>46236</v>
      </c>
      <c r="B134" s="13" t="n">
        <f aca="false">DataInput[[#This Row],[Week Start]]+6</f>
        <v>46242</v>
      </c>
      <c r="C134" s="14" t="s">
        <v>141</v>
      </c>
      <c r="D134" s="15" t="n">
        <v>0.5625</v>
      </c>
      <c r="E134" s="14" t="n">
        <v>91</v>
      </c>
      <c r="F134" s="14" t="n">
        <v>102</v>
      </c>
      <c r="G134" s="14" t="n">
        <v>73</v>
      </c>
      <c r="H134" s="14" t="n">
        <v>29</v>
      </c>
      <c r="I134" s="16" t="n">
        <v>0.284313725490196</v>
      </c>
      <c r="J134" s="14" t="n">
        <v>27</v>
      </c>
      <c r="K134" s="16" t="n">
        <v>0.264705882352941</v>
      </c>
      <c r="L134" s="17" t="n">
        <v>4.02671232876712</v>
      </c>
      <c r="M134" s="18" t="n">
        <v>432.106666666667</v>
      </c>
      <c r="N134" s="17" t="n">
        <v>33</v>
      </c>
      <c r="O134" s="17" t="n">
        <v>24.335</v>
      </c>
      <c r="P134" s="17" t="n">
        <v>19.65</v>
      </c>
      <c r="Q134" s="14"/>
      <c r="R134" s="14"/>
      <c r="S134" s="19" t="n">
        <f aca="false">IF(L134&gt;2,COUNTIF($L$6:L134,"&gt;2"),"")</f>
        <v>52</v>
      </c>
    </row>
    <row r="135" customFormat="false" ht="15" hidden="false" customHeight="true" outlineLevel="0" collapsed="false">
      <c r="A135" s="13" t="n">
        <v>46236</v>
      </c>
      <c r="B135" s="13" t="n">
        <f aca="false">DataInput[[#This Row],[Week Start]]+6</f>
        <v>46242</v>
      </c>
      <c r="C135" s="14" t="s">
        <v>141</v>
      </c>
      <c r="D135" s="15" t="n">
        <v>0.583333333333333</v>
      </c>
      <c r="E135" s="14" t="n">
        <v>94</v>
      </c>
      <c r="F135" s="14" t="n">
        <v>105</v>
      </c>
      <c r="G135" s="14" t="n">
        <v>84</v>
      </c>
      <c r="H135" s="14" t="n">
        <v>21</v>
      </c>
      <c r="I135" s="16" t="n">
        <v>0.2</v>
      </c>
      <c r="J135" s="14" t="n">
        <v>18</v>
      </c>
      <c r="K135" s="16" t="n">
        <v>0.171428571428571</v>
      </c>
      <c r="L135" s="17" t="n">
        <v>5.67619047619048</v>
      </c>
      <c r="M135" s="18" t="n">
        <v>484.556818181818</v>
      </c>
      <c r="N135" s="17" t="n">
        <v>36</v>
      </c>
      <c r="O135" s="17" t="n">
        <v>27.5</v>
      </c>
      <c r="P135" s="17" t="n">
        <v>26.8461111111111</v>
      </c>
      <c r="Q135" s="14"/>
      <c r="R135" s="14"/>
      <c r="S135" s="19" t="n">
        <f aca="false">IF(L135&gt;2,COUNTIF($L$6:L135,"&gt;2"),"")</f>
        <v>53</v>
      </c>
    </row>
    <row r="136" customFormat="false" ht="15" hidden="true" customHeight="true" outlineLevel="0" collapsed="false">
      <c r="A136" s="13" t="n">
        <v>46236</v>
      </c>
      <c r="B136" s="13" t="n">
        <f aca="false">DataInput[[#This Row],[Week Start]]+6</f>
        <v>46242</v>
      </c>
      <c r="C136" s="14" t="s">
        <v>141</v>
      </c>
      <c r="D136" s="15" t="n">
        <v>0.604166666666667</v>
      </c>
      <c r="E136" s="14" t="n">
        <v>95</v>
      </c>
      <c r="F136" s="14" t="n">
        <v>114</v>
      </c>
      <c r="G136" s="14" t="n">
        <v>111</v>
      </c>
      <c r="H136" s="14" t="n">
        <v>3</v>
      </c>
      <c r="I136" s="16" t="n">
        <v>0.0263157894736842</v>
      </c>
      <c r="J136" s="14" t="n">
        <v>0</v>
      </c>
      <c r="K136" s="16" t="n">
        <v>0</v>
      </c>
      <c r="L136" s="17" t="n">
        <v>0.827927927927928</v>
      </c>
      <c r="M136" s="18" t="n">
        <v>426.539130434783</v>
      </c>
      <c r="N136" s="17" t="n">
        <v>36</v>
      </c>
      <c r="O136" s="17" t="n">
        <v>33.665</v>
      </c>
      <c r="P136" s="17" t="n">
        <v>31.6605555555556</v>
      </c>
      <c r="Q136" s="14"/>
      <c r="R136" s="14"/>
      <c r="S136" s="19" t="str">
        <f aca="false">IF(L136&gt;2,COUNTIF($L$6:L136,"&gt;2"),"")</f>
        <v/>
      </c>
    </row>
    <row r="137" customFormat="false" ht="15" hidden="true" customHeight="true" outlineLevel="0" collapsed="false">
      <c r="A137" s="13" t="n">
        <v>46236</v>
      </c>
      <c r="B137" s="13" t="n">
        <f aca="false">DataInput[[#This Row],[Week Start]]+6</f>
        <v>46242</v>
      </c>
      <c r="C137" s="14" t="s">
        <v>141</v>
      </c>
      <c r="D137" s="15" t="n">
        <v>0.625</v>
      </c>
      <c r="E137" s="14" t="n">
        <v>86</v>
      </c>
      <c r="F137" s="14" t="n">
        <v>111</v>
      </c>
      <c r="G137" s="14" t="n">
        <v>104</v>
      </c>
      <c r="H137" s="14" t="n">
        <v>7</v>
      </c>
      <c r="I137" s="16" t="n">
        <v>0.0630630630630631</v>
      </c>
      <c r="J137" s="14" t="n">
        <v>3</v>
      </c>
      <c r="K137" s="16" t="n">
        <v>0.027027027027027</v>
      </c>
      <c r="L137" s="17" t="n">
        <v>1.57580128205128</v>
      </c>
      <c r="M137" s="18" t="n">
        <v>495.305555555556</v>
      </c>
      <c r="N137" s="17" t="n">
        <v>31.5</v>
      </c>
      <c r="O137" s="17" t="n">
        <v>31.5</v>
      </c>
      <c r="P137" s="17" t="n">
        <v>32.4788888888889</v>
      </c>
      <c r="Q137" s="14"/>
      <c r="R137" s="14"/>
      <c r="S137" s="19" t="str">
        <f aca="false">IF(L137&gt;2,COUNTIF($L$6:L137,"&gt;2"),"")</f>
        <v/>
      </c>
    </row>
    <row r="138" customFormat="false" ht="15" hidden="true" customHeight="true" outlineLevel="0" collapsed="false">
      <c r="A138" s="13" t="n">
        <v>46236</v>
      </c>
      <c r="B138" s="13" t="n">
        <f aca="false">DataInput[[#This Row],[Week Start]]+6</f>
        <v>46242</v>
      </c>
      <c r="C138" s="14" t="s">
        <v>141</v>
      </c>
      <c r="D138" s="15" t="n">
        <v>0.645833333333333</v>
      </c>
      <c r="E138" s="14" t="n">
        <v>89</v>
      </c>
      <c r="F138" s="14" t="n">
        <v>107</v>
      </c>
      <c r="G138" s="14" t="n">
        <v>105</v>
      </c>
      <c r="H138" s="14" t="n">
        <v>2</v>
      </c>
      <c r="I138" s="16" t="n">
        <v>0.0186915887850467</v>
      </c>
      <c r="J138" s="14" t="n">
        <v>0</v>
      </c>
      <c r="K138" s="16" t="n">
        <v>0</v>
      </c>
      <c r="L138" s="17" t="n">
        <v>0.162698412698413</v>
      </c>
      <c r="M138" s="18" t="n">
        <v>378.209090909091</v>
      </c>
      <c r="N138" s="17" t="n">
        <v>31</v>
      </c>
      <c r="O138" s="17" t="n">
        <v>33.5</v>
      </c>
      <c r="P138" s="17" t="n">
        <v>32.6383333333333</v>
      </c>
      <c r="Q138" s="14"/>
      <c r="R138" s="14"/>
      <c r="S138" s="19" t="str">
        <f aca="false">IF(L138&gt;2,COUNTIF($L$6:L138,"&gt;2"),"")</f>
        <v/>
      </c>
    </row>
    <row r="139" customFormat="false" ht="15" hidden="true" customHeight="true" outlineLevel="0" collapsed="false">
      <c r="A139" s="13" t="n">
        <v>46236</v>
      </c>
      <c r="B139" s="13" t="n">
        <f aca="false">DataInput[[#This Row],[Week Start]]+6</f>
        <v>46242</v>
      </c>
      <c r="C139" s="14" t="s">
        <v>141</v>
      </c>
      <c r="D139" s="15" t="n">
        <v>0.666666666666667</v>
      </c>
      <c r="E139" s="14" t="n">
        <v>79</v>
      </c>
      <c r="F139" s="14" t="n">
        <v>94</v>
      </c>
      <c r="G139" s="14" t="n">
        <v>91</v>
      </c>
      <c r="H139" s="14" t="n">
        <v>3</v>
      </c>
      <c r="I139" s="16" t="n">
        <v>0.0319148936170213</v>
      </c>
      <c r="J139" s="14" t="n">
        <v>0</v>
      </c>
      <c r="K139" s="16" t="n">
        <v>0</v>
      </c>
      <c r="L139" s="17" t="n">
        <v>0.346153846153846</v>
      </c>
      <c r="M139" s="18" t="n">
        <v>509.770833333333</v>
      </c>
      <c r="N139" s="17" t="n">
        <v>29.5</v>
      </c>
      <c r="O139" s="17" t="n">
        <v>35.5</v>
      </c>
      <c r="P139" s="17" t="n">
        <v>33.6377777777778</v>
      </c>
      <c r="Q139" s="14"/>
      <c r="R139" s="14"/>
      <c r="S139" s="19" t="str">
        <f aca="false">IF(L139&gt;2,COUNTIF($L$6:L139,"&gt;2"),"")</f>
        <v/>
      </c>
    </row>
    <row r="140" customFormat="false" ht="15" hidden="true" customHeight="true" outlineLevel="0" collapsed="false">
      <c r="A140" s="13" t="n">
        <v>46236</v>
      </c>
      <c r="B140" s="13" t="n">
        <f aca="false">DataInput[[#This Row],[Week Start]]+6</f>
        <v>46242</v>
      </c>
      <c r="C140" s="14" t="s">
        <v>141</v>
      </c>
      <c r="D140" s="15" t="n">
        <v>0.6875</v>
      </c>
      <c r="E140" s="14" t="n">
        <v>90</v>
      </c>
      <c r="F140" s="14" t="n">
        <v>81</v>
      </c>
      <c r="G140" s="14" t="n">
        <v>79</v>
      </c>
      <c r="H140" s="14" t="n">
        <v>2</v>
      </c>
      <c r="I140" s="16" t="n">
        <v>0.0246913580246914</v>
      </c>
      <c r="J140" s="14" t="n">
        <v>0</v>
      </c>
      <c r="K140" s="16" t="n">
        <v>0</v>
      </c>
      <c r="L140" s="17" t="n">
        <v>0.19620253164557</v>
      </c>
      <c r="M140" s="18" t="n">
        <v>397.843373493976</v>
      </c>
      <c r="N140" s="17" t="n">
        <v>28.5</v>
      </c>
      <c r="O140" s="17" t="n">
        <v>40.5</v>
      </c>
      <c r="P140" s="17" t="n">
        <v>36.5072222222222</v>
      </c>
      <c r="Q140" s="14"/>
      <c r="R140" s="14"/>
      <c r="S140" s="19" t="str">
        <f aca="false">IF(L140&gt;2,COUNTIF($L$6:L140,"&gt;2"),"")</f>
        <v/>
      </c>
    </row>
    <row r="141" customFormat="false" ht="15" hidden="true" customHeight="true" outlineLevel="0" collapsed="false">
      <c r="A141" s="13" t="n">
        <v>46236</v>
      </c>
      <c r="B141" s="13" t="n">
        <f aca="false">DataInput[[#This Row],[Week Start]]+6</f>
        <v>46242</v>
      </c>
      <c r="C141" s="14" t="s">
        <v>141</v>
      </c>
      <c r="D141" s="15" t="n">
        <v>0.708333333333333</v>
      </c>
      <c r="E141" s="14" t="n">
        <v>82</v>
      </c>
      <c r="F141" s="14" t="n">
        <v>85</v>
      </c>
      <c r="G141" s="14" t="n">
        <v>81</v>
      </c>
      <c r="H141" s="14" t="n">
        <v>4</v>
      </c>
      <c r="I141" s="16" t="n">
        <v>0.0470588235294118</v>
      </c>
      <c r="J141" s="14" t="n">
        <v>0</v>
      </c>
      <c r="K141" s="16" t="n">
        <v>0</v>
      </c>
      <c r="L141" s="17" t="n">
        <v>0.113786008230453</v>
      </c>
      <c r="M141" s="18" t="n">
        <v>435.851851851852</v>
      </c>
      <c r="N141" s="17" t="n">
        <v>25.5</v>
      </c>
      <c r="O141" s="17" t="n">
        <v>40.5</v>
      </c>
      <c r="P141" s="17" t="n">
        <v>38.3105555555556</v>
      </c>
      <c r="Q141" s="14"/>
      <c r="R141" s="14"/>
      <c r="S141" s="19" t="str">
        <f aca="false">IF(L141&gt;2,COUNTIF($L$6:L141,"&gt;2"),"")</f>
        <v/>
      </c>
    </row>
    <row r="142" customFormat="false" ht="15" hidden="true" customHeight="true" outlineLevel="0" collapsed="false">
      <c r="A142" s="13" t="n">
        <v>46236</v>
      </c>
      <c r="B142" s="13" t="n">
        <f aca="false">DataInput[[#This Row],[Week Start]]+6</f>
        <v>46242</v>
      </c>
      <c r="C142" s="14" t="s">
        <v>141</v>
      </c>
      <c r="D142" s="15" t="n">
        <v>0.729166666666667</v>
      </c>
      <c r="E142" s="14" t="n">
        <v>67</v>
      </c>
      <c r="F142" s="14" t="n">
        <v>76</v>
      </c>
      <c r="G142" s="14" t="n">
        <v>73</v>
      </c>
      <c r="H142" s="14" t="n">
        <v>3</v>
      </c>
      <c r="I142" s="16" t="n">
        <v>0.0394736842105263</v>
      </c>
      <c r="J142" s="14" t="n">
        <v>0</v>
      </c>
      <c r="K142" s="16" t="n">
        <v>0</v>
      </c>
      <c r="L142" s="17" t="n">
        <v>0.112785388127854</v>
      </c>
      <c r="M142" s="18" t="n">
        <v>479.441558441558</v>
      </c>
      <c r="N142" s="17" t="n">
        <v>25</v>
      </c>
      <c r="O142" s="17" t="n">
        <v>41</v>
      </c>
      <c r="P142" s="17" t="n">
        <v>40.3633333333333</v>
      </c>
      <c r="Q142" s="14"/>
      <c r="R142" s="14"/>
      <c r="S142" s="19" t="str">
        <f aca="false">IF(L142&gt;2,COUNTIF($L$6:L142,"&gt;2"),"")</f>
        <v/>
      </c>
    </row>
    <row r="143" customFormat="false" ht="15" hidden="true" customHeight="true" outlineLevel="0" collapsed="false">
      <c r="A143" s="13" t="n">
        <v>46236</v>
      </c>
      <c r="B143" s="13" t="n">
        <f aca="false">DataInput[[#This Row],[Week Start]]+6</f>
        <v>46242</v>
      </c>
      <c r="C143" s="14" t="s">
        <v>141</v>
      </c>
      <c r="D143" s="15" t="n">
        <v>0.75</v>
      </c>
      <c r="E143" s="14" t="n">
        <v>15</v>
      </c>
      <c r="F143" s="14" t="n">
        <v>26</v>
      </c>
      <c r="G143" s="14" t="n">
        <v>26</v>
      </c>
      <c r="H143" s="14" t="n">
        <v>0</v>
      </c>
      <c r="I143" s="16" t="n">
        <v>0</v>
      </c>
      <c r="J143" s="14" t="n">
        <v>0</v>
      </c>
      <c r="K143" s="16" t="n">
        <v>0</v>
      </c>
      <c r="L143" s="17" t="n">
        <v>0.113461538461539</v>
      </c>
      <c r="M143" s="18" t="n">
        <v>519.481481481482</v>
      </c>
      <c r="N143" s="17" t="n">
        <v>10</v>
      </c>
      <c r="O143" s="17" t="n">
        <v>1</v>
      </c>
      <c r="P143" s="17" t="n">
        <v>4.55888888888889</v>
      </c>
      <c r="Q143" s="14"/>
      <c r="R143" s="14"/>
      <c r="S143" s="19" t="str">
        <f aca="false">IF(L143&gt;2,COUNTIF($L$6:L143,"&gt;2"),"")</f>
        <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11"/>
    <col collapsed="false" customWidth="true" hidden="false" outlineLevel="0" max="4" min="4" style="1" width="13"/>
    <col collapsed="false" customWidth="true" hidden="false" outlineLevel="0" max="5" min="5" style="1" width="11"/>
    <col collapsed="false" customWidth="true" hidden="false" outlineLevel="0" max="6" min="6" style="1" width="13"/>
    <col collapsed="false" customWidth="true" hidden="false" outlineLevel="0" max="7" min="7" style="1" width="15"/>
    <col collapsed="false" customWidth="true" hidden="false" outlineLevel="0" max="8" min="8" style="1" width="11"/>
    <col collapsed="false" customWidth="true" hidden="false" outlineLevel="0" max="9" min="9" style="1" width="12"/>
    <col collapsed="false" customWidth="true" hidden="false" outlineLevel="0" max="11" min="10" style="1" width="22"/>
  </cols>
  <sheetData>
    <row r="1" customFormat="false" ht="19.5" hidden="false" customHeight="true" outlineLevel="0" collapsed="false">
      <c r="A1" s="20" t="s">
        <v>142</v>
      </c>
      <c r="B1" s="20"/>
      <c r="C1" s="20"/>
      <c r="D1" s="20"/>
      <c r="E1" s="20"/>
      <c r="F1" s="20"/>
      <c r="G1" s="20"/>
      <c r="H1" s="20"/>
      <c r="I1" s="20"/>
      <c r="J1" s="20"/>
      <c r="K1" s="20"/>
    </row>
    <row r="2" customFormat="false" ht="15" hidden="false" customHeight="true" outlineLevel="0" collapsed="false">
      <c r="A2" s="21" t="s">
        <v>143</v>
      </c>
      <c r="B2" s="21"/>
      <c r="C2" s="21"/>
      <c r="D2" s="21"/>
      <c r="E2" s="21"/>
      <c r="F2" s="21"/>
      <c r="G2" s="21"/>
      <c r="H2" s="21"/>
      <c r="I2" s="21"/>
      <c r="J2" s="21"/>
      <c r="K2" s="21"/>
    </row>
    <row r="3" customFormat="false" ht="15" hidden="false" customHeight="true" outlineLevel="0" collapsed="false">
      <c r="A3" s="22" t="s">
        <v>144</v>
      </c>
      <c r="B3" s="23" t="n">
        <f aca="false">COUNTIF('Data Input'!L6:L143,"&gt;2")</f>
        <v>53</v>
      </c>
      <c r="D3" s="22" t="s">
        <v>145</v>
      </c>
      <c r="E3" s="23" t="n">
        <f aca="false">COUNTIF('Data Input'!L6:L143,"&gt;5")</f>
        <v>20</v>
      </c>
    </row>
    <row r="5" customFormat="false" ht="27.75" hidden="false" customHeight="true" outlineLevel="0" collapsed="false">
      <c r="A5" s="24" t="s">
        <v>146</v>
      </c>
      <c r="B5" s="24" t="s">
        <v>119</v>
      </c>
      <c r="C5" s="24" t="s">
        <v>120</v>
      </c>
      <c r="D5" s="24" t="s">
        <v>128</v>
      </c>
      <c r="E5" s="24" t="s">
        <v>147</v>
      </c>
      <c r="F5" s="24" t="s">
        <v>122</v>
      </c>
      <c r="G5" s="24" t="s">
        <v>124</v>
      </c>
      <c r="H5" s="24" t="s">
        <v>125</v>
      </c>
      <c r="I5" s="24" t="s">
        <v>129</v>
      </c>
      <c r="J5" s="24" t="s">
        <v>133</v>
      </c>
      <c r="K5" s="24" t="s">
        <v>134</v>
      </c>
    </row>
    <row r="6" customFormat="false" ht="15" hidden="false" customHeight="true" outlineLevel="0" collapsed="false">
      <c r="A6" s="25" t="n">
        <f aca="false">IF(1&lt;=$B$3,1,"")</f>
        <v>1</v>
      </c>
      <c r="B6" s="26" t="str">
        <f aca="false">IF($A6="","",INDEX('Data Input'!$C$6:$C$143,MATCH($A6,'Data Input'!$S$6:$S$143,0)))</f>
        <v>Monday</v>
      </c>
      <c r="C6" s="27" t="n">
        <f aca="false">IF($A6="","",INDEX('Data Input'!$D$6:$D$143,MATCH($A6,'Data Input'!$S$6:$S$143,0)))</f>
        <v>0.354166666666667</v>
      </c>
      <c r="D6" s="28" t="n">
        <f aca="false">IF($A6="","",INDEX('Data Input'!$L$6:$L$143,MATCH($A6,'Data Input'!$S$6:$S$143,0)))</f>
        <v>3.39280879864636</v>
      </c>
      <c r="E6" s="26" t="str">
        <f aca="false">IF($A6="","",IF(D6&gt;5,"Severe",IF(D6&gt;3,"Moderate","Minor")))</f>
        <v>Moderate</v>
      </c>
      <c r="F6" s="26" t="n">
        <f aca="false">IF($A6="","",INDEX('Data Input'!$F$6:$F$143,MATCH($A6,'Data Input'!$S$6:$S$143,0)))</f>
        <v>227</v>
      </c>
      <c r="G6" s="26" t="n">
        <f aca="false">IF($A6="","",INDEX('Data Input'!$H$6:$H$143,MATCH($A6,'Data Input'!$S$6:$S$143,0)))</f>
        <v>30</v>
      </c>
      <c r="H6" s="29" t="n">
        <f aca="false">IF($A6="","",INDEX('Data Input'!$I$6:$I$143,MATCH($A6,'Data Input'!$S$6:$S$143,0)))</f>
        <v>0.13215859030837</v>
      </c>
      <c r="I6" s="30" t="n">
        <f aca="false">IF($A6="","",INDEX('Data Input'!$M$6:$M$143,MATCH($A6,'Data Input'!$S$6:$S$143,0)))</f>
        <v>436.507537688442</v>
      </c>
      <c r="J6" s="26" t="str">
        <f aca="false">IF($A6="","",IFERROR(IF(INDEX('Data Input'!$Q$6:$Q$143,MATCH($A6,'Data Input'!$S$6:$S$143,0))="","",INDEX('Data Input'!$Q$6:$Q$143,MATCH($A6,'Data Input'!$S$6:$S$143,0))),""))</f>
        <v/>
      </c>
      <c r="K6" s="26" t="str">
        <f aca="false">IF($A6="","",IFERROR(IF(INDEX('Data Input'!$R$6:$R$143,MATCH($A6,'Data Input'!$S$6:$S$143,0))="","",INDEX('Data Input'!$R$6:$R$143,MATCH($A6,'Data Input'!$S$6:$S$143,0))),""))</f>
        <v/>
      </c>
    </row>
    <row r="7" customFormat="false" ht="15" hidden="false" customHeight="true" outlineLevel="0" collapsed="false">
      <c r="A7" s="25" t="n">
        <f aca="false">IF(2&lt;=$B$3,2,"")</f>
        <v>2</v>
      </c>
      <c r="B7" s="26" t="str">
        <f aca="false">IF($A7="","",INDEX('Data Input'!$C$6:$C$143,MATCH($A7,'Data Input'!$S$6:$S$143,0)))</f>
        <v>Monday</v>
      </c>
      <c r="C7" s="27" t="n">
        <f aca="false">IF($A7="","",INDEX('Data Input'!$D$6:$D$143,MATCH($A7,'Data Input'!$S$6:$S$143,0)))</f>
        <v>0.4375</v>
      </c>
      <c r="D7" s="28" t="n">
        <f aca="false">IF($A7="","",INDEX('Data Input'!$L$6:$L$143,MATCH($A7,'Data Input'!$S$6:$S$143,0)))</f>
        <v>3.07494725738397</v>
      </c>
      <c r="E7" s="26" t="str">
        <f aca="false">IF($A7="","",IF(D7&gt;5,"Severe",IF(D7&gt;3,"Moderate","Minor")))</f>
        <v>Moderate</v>
      </c>
      <c r="F7" s="26" t="n">
        <f aca="false">IF($A7="","",INDEX('Data Input'!$F$6:$F$143,MATCH($A7,'Data Input'!$S$6:$S$143,0)))</f>
        <v>370</v>
      </c>
      <c r="G7" s="26" t="n">
        <f aca="false">IF($A7="","",INDEX('Data Input'!$H$6:$H$143,MATCH($A7,'Data Input'!$S$6:$S$143,0)))</f>
        <v>54</v>
      </c>
      <c r="H7" s="29" t="n">
        <f aca="false">IF($A7="","",INDEX('Data Input'!$I$6:$I$143,MATCH($A7,'Data Input'!$S$6:$S$143,0)))</f>
        <v>0.145945945945946</v>
      </c>
      <c r="I7" s="30" t="n">
        <f aca="false">IF($A7="","",INDEX('Data Input'!$M$6:$M$143,MATCH($A7,'Data Input'!$S$6:$S$143,0)))</f>
        <v>445.543209876543</v>
      </c>
      <c r="J7" s="26" t="str">
        <f aca="false">IF($A7="","",IFERROR(IF(INDEX('Data Input'!$Q$6:$Q$143,MATCH($A7,'Data Input'!$S$6:$S$143,0))="","",INDEX('Data Input'!$Q$6:$Q$143,MATCH($A7,'Data Input'!$S$6:$S$143,0))),""))</f>
        <v/>
      </c>
      <c r="K7" s="26" t="str">
        <f aca="false">IF($A7="","",IFERROR(IF(INDEX('Data Input'!$R$6:$R$143,MATCH($A7,'Data Input'!$S$6:$S$143,0))="","",INDEX('Data Input'!$R$6:$R$143,MATCH($A7,'Data Input'!$S$6:$S$143,0))),""))</f>
        <v/>
      </c>
    </row>
    <row r="8" customFormat="false" ht="15" hidden="false" customHeight="true" outlineLevel="0" collapsed="false">
      <c r="A8" s="25" t="n">
        <f aca="false">IF(3&lt;=$B$3,3,"")</f>
        <v>3</v>
      </c>
      <c r="B8" s="26" t="str">
        <f aca="false">IF($A8="","",INDEX('Data Input'!$C$6:$C$143,MATCH($A8,'Data Input'!$S$6:$S$143,0)))</f>
        <v>Monday</v>
      </c>
      <c r="C8" s="27" t="n">
        <f aca="false">IF($A8="","",INDEX('Data Input'!$D$6:$D$143,MATCH($A8,'Data Input'!$S$6:$S$143,0)))</f>
        <v>0.458333333333333</v>
      </c>
      <c r="D8" s="28" t="n">
        <f aca="false">IF($A8="","",INDEX('Data Input'!$L$6:$L$143,MATCH($A8,'Data Input'!$S$6:$S$143,0)))</f>
        <v>3.76968716289105</v>
      </c>
      <c r="E8" s="26" t="str">
        <f aca="false">IF($A8="","",IF(D8&gt;5,"Severe",IF(D8&gt;3,"Moderate","Minor")))</f>
        <v>Moderate</v>
      </c>
      <c r="F8" s="26" t="n">
        <f aca="false">IF($A8="","",INDEX('Data Input'!$F$6:$F$143,MATCH($A8,'Data Input'!$S$6:$S$143,0)))</f>
        <v>341</v>
      </c>
      <c r="G8" s="26" t="n">
        <f aca="false">IF($A8="","",INDEX('Data Input'!$H$6:$H$143,MATCH($A8,'Data Input'!$S$6:$S$143,0)))</f>
        <v>32</v>
      </c>
      <c r="H8" s="29" t="n">
        <f aca="false">IF($A8="","",INDEX('Data Input'!$I$6:$I$143,MATCH($A8,'Data Input'!$S$6:$S$143,0)))</f>
        <v>0.093841642228739</v>
      </c>
      <c r="I8" s="30" t="n">
        <f aca="false">IF($A8="","",INDEX('Data Input'!$M$6:$M$143,MATCH($A8,'Data Input'!$S$6:$S$143,0)))</f>
        <v>459.552050473186</v>
      </c>
      <c r="J8" s="26" t="str">
        <f aca="false">IF($A8="","",IFERROR(IF(INDEX('Data Input'!$Q$6:$Q$143,MATCH($A8,'Data Input'!$S$6:$S$143,0))="","",INDEX('Data Input'!$Q$6:$Q$143,MATCH($A8,'Data Input'!$S$6:$S$143,0))),""))</f>
        <v/>
      </c>
      <c r="K8" s="26" t="str">
        <f aca="false">IF($A8="","",IFERROR(IF(INDEX('Data Input'!$R$6:$R$143,MATCH($A8,'Data Input'!$S$6:$S$143,0))="","",INDEX('Data Input'!$R$6:$R$143,MATCH($A8,'Data Input'!$S$6:$S$143,0))),""))</f>
        <v/>
      </c>
    </row>
    <row r="9" customFormat="false" ht="15" hidden="false" customHeight="true" outlineLevel="0" collapsed="false">
      <c r="A9" s="25" t="n">
        <f aca="false">IF(4&lt;=$B$3,4,"")</f>
        <v>4</v>
      </c>
      <c r="B9" s="26" t="str">
        <f aca="false">IF($A9="","",INDEX('Data Input'!$C$6:$C$143,MATCH($A9,'Data Input'!$S$6:$S$143,0)))</f>
        <v>Monday</v>
      </c>
      <c r="C9" s="27" t="n">
        <f aca="false">IF($A9="","",INDEX('Data Input'!$D$6:$D$143,MATCH($A9,'Data Input'!$S$6:$S$143,0)))</f>
        <v>0.5</v>
      </c>
      <c r="D9" s="28" t="n">
        <f aca="false">IF($A9="","",INDEX('Data Input'!$L$6:$L$143,MATCH($A9,'Data Input'!$S$6:$S$143,0)))</f>
        <v>2.00862250262881</v>
      </c>
      <c r="E9" s="26" t="str">
        <f aca="false">IF($A9="","",IF(D9&gt;5,"Severe",IF(D9&gt;3,"Moderate","Minor")))</f>
        <v>Minor</v>
      </c>
      <c r="F9" s="26" t="n">
        <f aca="false">IF($A9="","",INDEX('Data Input'!$F$6:$F$143,MATCH($A9,'Data Input'!$S$6:$S$143,0)))</f>
        <v>349</v>
      </c>
      <c r="G9" s="26" t="n">
        <f aca="false">IF($A9="","",INDEX('Data Input'!$H$6:$H$143,MATCH($A9,'Data Input'!$S$6:$S$143,0)))</f>
        <v>32</v>
      </c>
      <c r="H9" s="29" t="n">
        <f aca="false">IF($A9="","",INDEX('Data Input'!$I$6:$I$143,MATCH($A9,'Data Input'!$S$6:$S$143,0)))</f>
        <v>0.0916905444126075</v>
      </c>
      <c r="I9" s="30" t="n">
        <f aca="false">IF($A9="","",INDEX('Data Input'!$M$6:$M$143,MATCH($A9,'Data Input'!$S$6:$S$143,0)))</f>
        <v>425.786144578313</v>
      </c>
      <c r="J9" s="26" t="str">
        <f aca="false">IF($A9="","",IFERROR(IF(INDEX('Data Input'!$Q$6:$Q$143,MATCH($A9,'Data Input'!$S$6:$S$143,0))="","",INDEX('Data Input'!$Q$6:$Q$143,MATCH($A9,'Data Input'!$S$6:$S$143,0))),""))</f>
        <v/>
      </c>
      <c r="K9" s="26" t="str">
        <f aca="false">IF($A9="","",IFERROR(IF(INDEX('Data Input'!$R$6:$R$143,MATCH($A9,'Data Input'!$S$6:$S$143,0))="","",INDEX('Data Input'!$R$6:$R$143,MATCH($A9,'Data Input'!$S$6:$S$143,0))),""))</f>
        <v/>
      </c>
    </row>
    <row r="10" customFormat="false" ht="15" hidden="false" customHeight="true" outlineLevel="0" collapsed="false">
      <c r="A10" s="25" t="n">
        <f aca="false">IF(5&lt;=$B$3,5,"")</f>
        <v>5</v>
      </c>
      <c r="B10" s="26" t="str">
        <f aca="false">IF($A10="","",INDEX('Data Input'!$C$6:$C$143,MATCH($A10,'Data Input'!$S$6:$S$143,0)))</f>
        <v>Monday</v>
      </c>
      <c r="C10" s="27" t="n">
        <f aca="false">IF($A10="","",INDEX('Data Input'!$D$6:$D$143,MATCH($A10,'Data Input'!$S$6:$S$143,0)))</f>
        <v>0.520833333333333</v>
      </c>
      <c r="D10" s="28" t="n">
        <f aca="false">IF($A10="","",INDEX('Data Input'!$L$6:$L$143,MATCH($A10,'Data Input'!$S$6:$S$143,0)))</f>
        <v>2.34715302491103</v>
      </c>
      <c r="E10" s="26" t="str">
        <f aca="false">IF($A10="","",IF(D10&gt;5,"Severe",IF(D10&gt;3,"Moderate","Minor")))</f>
        <v>Minor</v>
      </c>
      <c r="F10" s="26" t="n">
        <f aca="false">IF($A10="","",INDEX('Data Input'!$F$6:$F$143,MATCH($A10,'Data Input'!$S$6:$S$143,0)))</f>
        <v>315</v>
      </c>
      <c r="G10" s="26" t="n">
        <f aca="false">IF($A10="","",INDEX('Data Input'!$H$6:$H$143,MATCH($A10,'Data Input'!$S$6:$S$143,0)))</f>
        <v>34</v>
      </c>
      <c r="H10" s="29" t="n">
        <f aca="false">IF($A10="","",INDEX('Data Input'!$I$6:$I$143,MATCH($A10,'Data Input'!$S$6:$S$143,0)))</f>
        <v>0.107936507936508</v>
      </c>
      <c r="I10" s="30" t="n">
        <f aca="false">IF($A10="","",INDEX('Data Input'!$M$6:$M$143,MATCH($A10,'Data Input'!$S$6:$S$143,0)))</f>
        <v>446.853242320819</v>
      </c>
      <c r="J10" s="26" t="str">
        <f aca="false">IF($A10="","",IFERROR(IF(INDEX('Data Input'!$Q$6:$Q$143,MATCH($A10,'Data Input'!$S$6:$S$143,0))="","",INDEX('Data Input'!$Q$6:$Q$143,MATCH($A10,'Data Input'!$S$6:$S$143,0))),""))</f>
        <v/>
      </c>
      <c r="K10" s="26" t="str">
        <f aca="false">IF($A10="","",IFERROR(IF(INDEX('Data Input'!$R$6:$R$143,MATCH($A10,'Data Input'!$S$6:$S$143,0))="","",INDEX('Data Input'!$R$6:$R$143,MATCH($A10,'Data Input'!$S$6:$S$143,0))),""))</f>
        <v/>
      </c>
    </row>
    <row r="11" customFormat="false" ht="15" hidden="false" customHeight="true" outlineLevel="0" collapsed="false">
      <c r="A11" s="25" t="n">
        <f aca="false">IF(6&lt;=$B$3,6,"")</f>
        <v>6</v>
      </c>
      <c r="B11" s="26" t="str">
        <f aca="false">IF($A11="","",INDEX('Data Input'!$C$6:$C$143,MATCH($A11,'Data Input'!$S$6:$S$143,0)))</f>
        <v>Monday</v>
      </c>
      <c r="C11" s="27" t="n">
        <f aca="false">IF($A11="","",INDEX('Data Input'!$D$6:$D$143,MATCH($A11,'Data Input'!$S$6:$S$143,0)))</f>
        <v>0.541666666666667</v>
      </c>
      <c r="D11" s="28" t="n">
        <f aca="false">IF($A11="","",INDEX('Data Input'!$L$6:$L$143,MATCH($A11,'Data Input'!$S$6:$S$143,0)))</f>
        <v>2.2172131147541</v>
      </c>
      <c r="E11" s="26" t="str">
        <f aca="false">IF($A11="","",IF(D11&gt;5,"Severe",IF(D11&gt;3,"Moderate","Minor")))</f>
        <v>Minor</v>
      </c>
      <c r="F11" s="26" t="n">
        <f aca="false">IF($A11="","",INDEX('Data Input'!$F$6:$F$143,MATCH($A11,'Data Input'!$S$6:$S$143,0)))</f>
        <v>275</v>
      </c>
      <c r="G11" s="26" t="n">
        <f aca="false">IF($A11="","",INDEX('Data Input'!$H$6:$H$143,MATCH($A11,'Data Input'!$S$6:$S$143,0)))</f>
        <v>31</v>
      </c>
      <c r="H11" s="29" t="n">
        <f aca="false">IF($A11="","",INDEX('Data Input'!$I$6:$I$143,MATCH($A11,'Data Input'!$S$6:$S$143,0)))</f>
        <v>0.112727272727273</v>
      </c>
      <c r="I11" s="30" t="n">
        <f aca="false">IF($A11="","",INDEX('Data Input'!$M$6:$M$143,MATCH($A11,'Data Input'!$S$6:$S$143,0)))</f>
        <v>484.01593625498</v>
      </c>
      <c r="J11" s="26" t="str">
        <f aca="false">IF($A11="","",IFERROR(IF(INDEX('Data Input'!$Q$6:$Q$143,MATCH($A11,'Data Input'!$S$6:$S$143,0))="","",INDEX('Data Input'!$Q$6:$Q$143,MATCH($A11,'Data Input'!$S$6:$S$143,0))),""))</f>
        <v/>
      </c>
      <c r="K11" s="26" t="str">
        <f aca="false">IF($A11="","",IFERROR(IF(INDEX('Data Input'!$R$6:$R$143,MATCH($A11,'Data Input'!$S$6:$S$143,0))="","",INDEX('Data Input'!$R$6:$R$143,MATCH($A11,'Data Input'!$S$6:$S$143,0))),""))</f>
        <v/>
      </c>
    </row>
    <row r="12" customFormat="false" ht="15" hidden="false" customHeight="true" outlineLevel="0" collapsed="false">
      <c r="A12" s="25" t="n">
        <f aca="false">IF(7&lt;=$B$3,7,"")</f>
        <v>7</v>
      </c>
      <c r="B12" s="26" t="str">
        <f aca="false">IF($A12="","",INDEX('Data Input'!$C$6:$C$143,MATCH($A12,'Data Input'!$S$6:$S$143,0)))</f>
        <v>Monday</v>
      </c>
      <c r="C12" s="27" t="n">
        <f aca="false">IF($A12="","",INDEX('Data Input'!$D$6:$D$143,MATCH($A12,'Data Input'!$S$6:$S$143,0)))</f>
        <v>0.5625</v>
      </c>
      <c r="D12" s="28" t="n">
        <f aca="false">IF($A12="","",INDEX('Data Input'!$L$6:$L$143,MATCH($A12,'Data Input'!$S$6:$S$143,0)))</f>
        <v>3.15442967884828</v>
      </c>
      <c r="E12" s="26" t="str">
        <f aca="false">IF($A12="","",IF(D12&gt;5,"Severe",IF(D12&gt;3,"Moderate","Minor")))</f>
        <v>Moderate</v>
      </c>
      <c r="F12" s="26" t="n">
        <f aca="false">IF($A12="","",INDEX('Data Input'!$F$6:$F$143,MATCH($A12,'Data Input'!$S$6:$S$143,0)))</f>
        <v>344</v>
      </c>
      <c r="G12" s="26" t="n">
        <f aca="false">IF($A12="","",INDEX('Data Input'!$H$6:$H$143,MATCH($A12,'Data Input'!$S$6:$S$143,0)))</f>
        <v>43</v>
      </c>
      <c r="H12" s="29" t="n">
        <f aca="false">IF($A12="","",INDEX('Data Input'!$I$6:$I$143,MATCH($A12,'Data Input'!$S$6:$S$143,0)))</f>
        <v>0.125</v>
      </c>
      <c r="I12" s="30" t="n">
        <f aca="false">IF($A12="","",INDEX('Data Input'!$M$6:$M$143,MATCH($A12,'Data Input'!$S$6:$S$143,0)))</f>
        <v>492.665594855306</v>
      </c>
      <c r="J12" s="26" t="str">
        <f aca="false">IF($A12="","",IFERROR(IF(INDEX('Data Input'!$Q$6:$Q$143,MATCH($A12,'Data Input'!$S$6:$S$143,0))="","",INDEX('Data Input'!$Q$6:$Q$143,MATCH($A12,'Data Input'!$S$6:$S$143,0))),""))</f>
        <v/>
      </c>
      <c r="K12" s="26" t="str">
        <f aca="false">IF($A12="","",IFERROR(IF(INDEX('Data Input'!$R$6:$R$143,MATCH($A12,'Data Input'!$S$6:$S$143,0))="","",INDEX('Data Input'!$R$6:$R$143,MATCH($A12,'Data Input'!$S$6:$S$143,0))),""))</f>
        <v/>
      </c>
    </row>
    <row r="13" customFormat="false" ht="15" hidden="false" customHeight="true" outlineLevel="0" collapsed="false">
      <c r="A13" s="25" t="n">
        <f aca="false">IF(8&lt;=$B$3,8,"")</f>
        <v>8</v>
      </c>
      <c r="B13" s="26" t="str">
        <f aca="false">IF($A13="","",INDEX('Data Input'!$C$6:$C$143,MATCH($A13,'Data Input'!$S$6:$S$143,0)))</f>
        <v>Monday</v>
      </c>
      <c r="C13" s="27" t="n">
        <f aca="false">IF($A13="","",INDEX('Data Input'!$D$6:$D$143,MATCH($A13,'Data Input'!$S$6:$S$143,0)))</f>
        <v>0.583333333333333</v>
      </c>
      <c r="D13" s="28" t="n">
        <f aca="false">IF($A13="","",INDEX('Data Input'!$L$6:$L$143,MATCH($A13,'Data Input'!$S$6:$S$143,0)))</f>
        <v>2.02382671480144</v>
      </c>
      <c r="E13" s="26" t="str">
        <f aca="false">IF($A13="","",IF(D13&gt;5,"Severe",IF(D13&gt;3,"Moderate","Minor")))</f>
        <v>Minor</v>
      </c>
      <c r="F13" s="26" t="n">
        <f aca="false">IF($A13="","",INDEX('Data Input'!$F$6:$F$143,MATCH($A13,'Data Input'!$S$6:$S$143,0)))</f>
        <v>294</v>
      </c>
      <c r="G13" s="26" t="n">
        <f aca="false">IF($A13="","",INDEX('Data Input'!$H$6:$H$143,MATCH($A13,'Data Input'!$S$6:$S$143,0)))</f>
        <v>17</v>
      </c>
      <c r="H13" s="29" t="n">
        <f aca="false">IF($A13="","",INDEX('Data Input'!$I$6:$I$143,MATCH($A13,'Data Input'!$S$6:$S$143,0)))</f>
        <v>0.0578231292517007</v>
      </c>
      <c r="I13" s="30" t="n">
        <f aca="false">IF($A13="","",INDEX('Data Input'!$M$6:$M$143,MATCH($A13,'Data Input'!$S$6:$S$143,0)))</f>
        <v>465.371024734982</v>
      </c>
      <c r="J13" s="26" t="str">
        <f aca="false">IF($A13="","",IFERROR(IF(INDEX('Data Input'!$Q$6:$Q$143,MATCH($A13,'Data Input'!$S$6:$S$143,0))="","",INDEX('Data Input'!$Q$6:$Q$143,MATCH($A13,'Data Input'!$S$6:$S$143,0))),""))</f>
        <v/>
      </c>
      <c r="K13" s="26" t="str">
        <f aca="false">IF($A13="","",IFERROR(IF(INDEX('Data Input'!$R$6:$R$143,MATCH($A13,'Data Input'!$S$6:$S$143,0))="","",INDEX('Data Input'!$R$6:$R$143,MATCH($A13,'Data Input'!$S$6:$S$143,0))),""))</f>
        <v/>
      </c>
    </row>
    <row r="14" customFormat="false" ht="15" hidden="false" customHeight="true" outlineLevel="0" collapsed="false">
      <c r="A14" s="25" t="n">
        <f aca="false">IF(9&lt;=$B$3,9,"")</f>
        <v>9</v>
      </c>
      <c r="B14" s="26" t="str">
        <f aca="false">IF($A14="","",INDEX('Data Input'!$C$6:$C$143,MATCH($A14,'Data Input'!$S$6:$S$143,0)))</f>
        <v>Monday</v>
      </c>
      <c r="C14" s="27" t="n">
        <f aca="false">IF($A14="","",INDEX('Data Input'!$D$6:$D$143,MATCH($A14,'Data Input'!$S$6:$S$143,0)))</f>
        <v>0.625</v>
      </c>
      <c r="D14" s="28" t="n">
        <f aca="false">IF($A14="","",INDEX('Data Input'!$L$6:$L$143,MATCH($A14,'Data Input'!$S$6:$S$143,0)))</f>
        <v>4.24977924944812</v>
      </c>
      <c r="E14" s="26" t="str">
        <f aca="false">IF($A14="","",IF(D14&gt;5,"Severe",IF(D14&gt;3,"Moderate","Minor")))</f>
        <v>Moderate</v>
      </c>
      <c r="F14" s="26" t="n">
        <f aca="false">IF($A14="","",INDEX('Data Input'!$F$6:$F$143,MATCH($A14,'Data Input'!$S$6:$S$143,0)))</f>
        <v>356</v>
      </c>
      <c r="G14" s="26" t="n">
        <f aca="false">IF($A14="","",INDEX('Data Input'!$H$6:$H$143,MATCH($A14,'Data Input'!$S$6:$S$143,0)))</f>
        <v>54</v>
      </c>
      <c r="H14" s="29" t="n">
        <f aca="false">IF($A14="","",INDEX('Data Input'!$I$6:$I$143,MATCH($A14,'Data Input'!$S$6:$S$143,0)))</f>
        <v>0.151685393258427</v>
      </c>
      <c r="I14" s="30" t="n">
        <f aca="false">IF($A14="","",INDEX('Data Input'!$M$6:$M$143,MATCH($A14,'Data Input'!$S$6:$S$143,0)))</f>
        <v>493.448051948052</v>
      </c>
      <c r="J14" s="26" t="str">
        <f aca="false">IF($A14="","",IFERROR(IF(INDEX('Data Input'!$Q$6:$Q$143,MATCH($A14,'Data Input'!$S$6:$S$143,0))="","",INDEX('Data Input'!$Q$6:$Q$143,MATCH($A14,'Data Input'!$S$6:$S$143,0))),""))</f>
        <v/>
      </c>
      <c r="K14" s="26" t="str">
        <f aca="false">IF($A14="","",IFERROR(IF(INDEX('Data Input'!$R$6:$R$143,MATCH($A14,'Data Input'!$S$6:$S$143,0))="","",INDEX('Data Input'!$R$6:$R$143,MATCH($A14,'Data Input'!$S$6:$S$143,0))),""))</f>
        <v/>
      </c>
    </row>
    <row r="15" customFormat="false" ht="15" hidden="false" customHeight="true" outlineLevel="0" collapsed="false">
      <c r="A15" s="25" t="n">
        <f aca="false">IF(10&lt;=$B$3,10,"")</f>
        <v>10</v>
      </c>
      <c r="B15" s="26" t="str">
        <f aca="false">IF($A15="","",INDEX('Data Input'!$C$6:$C$143,MATCH($A15,'Data Input'!$S$6:$S$143,0)))</f>
        <v>Monday</v>
      </c>
      <c r="C15" s="27" t="n">
        <f aca="false">IF($A15="","",INDEX('Data Input'!$D$6:$D$143,MATCH($A15,'Data Input'!$S$6:$S$143,0)))</f>
        <v>0.645833333333333</v>
      </c>
      <c r="D15" s="28" t="n">
        <f aca="false">IF($A15="","",INDEX('Data Input'!$L$6:$L$143,MATCH($A15,'Data Input'!$S$6:$S$143,0)))</f>
        <v>4.25929152148664</v>
      </c>
      <c r="E15" s="26" t="str">
        <f aca="false">IF($A15="","",IF(D15&gt;5,"Severe",IF(D15&gt;3,"Moderate","Minor")))</f>
        <v>Moderate</v>
      </c>
      <c r="F15" s="26" t="n">
        <f aca="false">IF($A15="","",INDEX('Data Input'!$F$6:$F$143,MATCH($A15,'Data Input'!$S$6:$S$143,0)))</f>
        <v>330</v>
      </c>
      <c r="G15" s="26" t="n">
        <f aca="false">IF($A15="","",INDEX('Data Input'!$H$6:$H$143,MATCH($A15,'Data Input'!$S$6:$S$143,0)))</f>
        <v>43</v>
      </c>
      <c r="H15" s="29" t="n">
        <f aca="false">IF($A15="","",INDEX('Data Input'!$I$6:$I$143,MATCH($A15,'Data Input'!$S$6:$S$143,0)))</f>
        <v>0.13030303030303</v>
      </c>
      <c r="I15" s="30" t="n">
        <f aca="false">IF($A15="","",INDEX('Data Input'!$M$6:$M$143,MATCH($A15,'Data Input'!$S$6:$S$143,0)))</f>
        <v>463.023411371237</v>
      </c>
      <c r="J15" s="26" t="str">
        <f aca="false">IF($A15="","",IFERROR(IF(INDEX('Data Input'!$Q$6:$Q$143,MATCH($A15,'Data Input'!$S$6:$S$143,0))="","",INDEX('Data Input'!$Q$6:$Q$143,MATCH($A15,'Data Input'!$S$6:$S$143,0))),""))</f>
        <v/>
      </c>
      <c r="K15" s="26" t="str">
        <f aca="false">IF($A15="","",IFERROR(IF(INDEX('Data Input'!$R$6:$R$143,MATCH($A15,'Data Input'!$S$6:$S$143,0))="","",INDEX('Data Input'!$R$6:$R$143,MATCH($A15,'Data Input'!$S$6:$S$143,0))),""))</f>
        <v/>
      </c>
    </row>
    <row r="16" customFormat="false" ht="15" hidden="false" customHeight="true" outlineLevel="0" collapsed="false">
      <c r="A16" s="25" t="n">
        <f aca="false">IF(11&lt;=$B$3,11,"")</f>
        <v>11</v>
      </c>
      <c r="B16" s="26" t="str">
        <f aca="false">IF($A16="","",INDEX('Data Input'!$C$6:$C$143,MATCH($A16,'Data Input'!$S$6:$S$143,0)))</f>
        <v>Monday</v>
      </c>
      <c r="C16" s="27" t="n">
        <f aca="false">IF($A16="","",INDEX('Data Input'!$D$6:$D$143,MATCH($A16,'Data Input'!$S$6:$S$143,0)))</f>
        <v>0.666666666666667</v>
      </c>
      <c r="D16" s="28" t="n">
        <f aca="false">IF($A16="","",INDEX('Data Input'!$L$6:$L$143,MATCH($A16,'Data Input'!$S$6:$S$143,0)))</f>
        <v>2.95196078431373</v>
      </c>
      <c r="E16" s="26" t="str">
        <f aca="false">IF($A16="","",IF(D16&gt;5,"Severe",IF(D16&gt;3,"Moderate","Minor")))</f>
        <v>Minor</v>
      </c>
      <c r="F16" s="26" t="n">
        <f aca="false">IF($A16="","",INDEX('Data Input'!$F$6:$F$143,MATCH($A16,'Data Input'!$S$6:$S$143,0)))</f>
        <v>380</v>
      </c>
      <c r="G16" s="26" t="n">
        <f aca="false">IF($A16="","",INDEX('Data Input'!$H$6:$H$143,MATCH($A16,'Data Input'!$S$6:$S$143,0)))</f>
        <v>57</v>
      </c>
      <c r="H16" s="29" t="n">
        <f aca="false">IF($A16="","",INDEX('Data Input'!$I$6:$I$143,MATCH($A16,'Data Input'!$S$6:$S$143,0)))</f>
        <v>0.15</v>
      </c>
      <c r="I16" s="30" t="n">
        <f aca="false">IF($A16="","",INDEX('Data Input'!$M$6:$M$143,MATCH($A16,'Data Input'!$S$6:$S$143,0)))</f>
        <v>464.640483383686</v>
      </c>
      <c r="J16" s="26" t="str">
        <f aca="false">IF($A16="","",IFERROR(IF(INDEX('Data Input'!$Q$6:$Q$143,MATCH($A16,'Data Input'!$S$6:$S$143,0))="","",INDEX('Data Input'!$Q$6:$Q$143,MATCH($A16,'Data Input'!$S$6:$S$143,0))),""))</f>
        <v/>
      </c>
      <c r="K16" s="26" t="str">
        <f aca="false">IF($A16="","",IFERROR(IF(INDEX('Data Input'!$R$6:$R$143,MATCH($A16,'Data Input'!$S$6:$S$143,0))="","",INDEX('Data Input'!$R$6:$R$143,MATCH($A16,'Data Input'!$S$6:$S$143,0))),""))</f>
        <v/>
      </c>
    </row>
    <row r="17" customFormat="false" ht="15" hidden="false" customHeight="true" outlineLevel="0" collapsed="false">
      <c r="A17" s="25" t="n">
        <f aca="false">IF(12&lt;=$B$3,12,"")</f>
        <v>12</v>
      </c>
      <c r="B17" s="26" t="str">
        <f aca="false">IF($A17="","",INDEX('Data Input'!$C$6:$C$143,MATCH($A17,'Data Input'!$S$6:$S$143,0)))</f>
        <v>Monday</v>
      </c>
      <c r="C17" s="27" t="n">
        <f aca="false">IF($A17="","",INDEX('Data Input'!$D$6:$D$143,MATCH($A17,'Data Input'!$S$6:$S$143,0)))</f>
        <v>0.6875</v>
      </c>
      <c r="D17" s="28" t="n">
        <f aca="false">IF($A17="","",INDEX('Data Input'!$L$6:$L$143,MATCH($A17,'Data Input'!$S$6:$S$143,0)))</f>
        <v>2.32586021505376</v>
      </c>
      <c r="E17" s="26" t="str">
        <f aca="false">IF($A17="","",IF(D17&gt;5,"Severe",IF(D17&gt;3,"Moderate","Minor")))</f>
        <v>Minor</v>
      </c>
      <c r="F17" s="26" t="n">
        <f aca="false">IF($A17="","",INDEX('Data Input'!$F$6:$F$143,MATCH($A17,'Data Input'!$S$6:$S$143,0)))</f>
        <v>332</v>
      </c>
      <c r="G17" s="26" t="n">
        <f aca="false">IF($A17="","",INDEX('Data Input'!$H$6:$H$143,MATCH($A17,'Data Input'!$S$6:$S$143,0)))</f>
        <v>22</v>
      </c>
      <c r="H17" s="29" t="n">
        <f aca="false">IF($A17="","",INDEX('Data Input'!$I$6:$I$143,MATCH($A17,'Data Input'!$S$6:$S$143,0)))</f>
        <v>0.0662650602409639</v>
      </c>
      <c r="I17" s="30" t="n">
        <f aca="false">IF($A17="","",INDEX('Data Input'!$M$6:$M$143,MATCH($A17,'Data Input'!$S$6:$S$143,0)))</f>
        <v>461.933753943218</v>
      </c>
      <c r="J17" s="26" t="str">
        <f aca="false">IF($A17="","",IFERROR(IF(INDEX('Data Input'!$Q$6:$Q$143,MATCH($A17,'Data Input'!$S$6:$S$143,0))="","",INDEX('Data Input'!$Q$6:$Q$143,MATCH($A17,'Data Input'!$S$6:$S$143,0))),""))</f>
        <v/>
      </c>
      <c r="K17" s="26" t="str">
        <f aca="false">IF($A17="","",IFERROR(IF(INDEX('Data Input'!$R$6:$R$143,MATCH($A17,'Data Input'!$S$6:$S$143,0))="","",INDEX('Data Input'!$R$6:$R$143,MATCH($A17,'Data Input'!$S$6:$S$143,0))),""))</f>
        <v/>
      </c>
    </row>
    <row r="18" customFormat="false" ht="15" hidden="false" customHeight="true" outlineLevel="0" collapsed="false">
      <c r="A18" s="25" t="n">
        <f aca="false">IF(13&lt;=$B$3,13,"")</f>
        <v>13</v>
      </c>
      <c r="B18" s="26" t="str">
        <f aca="false">IF($A18="","",INDEX('Data Input'!$C$6:$C$143,MATCH($A18,'Data Input'!$S$6:$S$143,0)))</f>
        <v>Monday</v>
      </c>
      <c r="C18" s="27" t="n">
        <f aca="false">IF($A18="","",INDEX('Data Input'!$D$6:$D$143,MATCH($A18,'Data Input'!$S$6:$S$143,0)))</f>
        <v>0.75</v>
      </c>
      <c r="D18" s="28" t="n">
        <f aca="false">IF($A18="","",INDEX('Data Input'!$L$6:$L$143,MATCH($A18,'Data Input'!$S$6:$S$143,0)))</f>
        <v>3.30093109869646</v>
      </c>
      <c r="E18" s="26" t="str">
        <f aca="false">IF($A18="","",IF(D18&gt;5,"Severe",IF(D18&gt;3,"Moderate","Minor")))</f>
        <v>Moderate</v>
      </c>
      <c r="F18" s="26" t="n">
        <f aca="false">IF($A18="","",INDEX('Data Input'!$F$6:$F$143,MATCH($A18,'Data Input'!$S$6:$S$143,0)))</f>
        <v>232</v>
      </c>
      <c r="G18" s="26" t="n">
        <f aca="false">IF($A18="","",INDEX('Data Input'!$H$6:$H$143,MATCH($A18,'Data Input'!$S$6:$S$143,0)))</f>
        <v>53</v>
      </c>
      <c r="H18" s="29" t="n">
        <f aca="false">IF($A18="","",INDEX('Data Input'!$I$6:$I$143,MATCH($A18,'Data Input'!$S$6:$S$143,0)))</f>
        <v>0.228448275862069</v>
      </c>
      <c r="I18" s="30" t="n">
        <f aca="false">IF($A18="","",INDEX('Data Input'!$M$6:$M$143,MATCH($A18,'Data Input'!$S$6:$S$143,0)))</f>
        <v>496.617486338798</v>
      </c>
      <c r="J18" s="26" t="str">
        <f aca="false">IF($A18="","",IFERROR(IF(INDEX('Data Input'!$Q$6:$Q$143,MATCH($A18,'Data Input'!$S$6:$S$143,0))="","",INDEX('Data Input'!$Q$6:$Q$143,MATCH($A18,'Data Input'!$S$6:$S$143,0))),""))</f>
        <v/>
      </c>
      <c r="K18" s="26" t="str">
        <f aca="false">IF($A18="","",IFERROR(IF(INDEX('Data Input'!$R$6:$R$143,MATCH($A18,'Data Input'!$S$6:$S$143,0))="","",INDEX('Data Input'!$R$6:$R$143,MATCH($A18,'Data Input'!$S$6:$S$143,0))),""))</f>
        <v/>
      </c>
    </row>
    <row r="19" customFormat="false" ht="15" hidden="false" customHeight="true" outlineLevel="0" collapsed="false">
      <c r="A19" s="25" t="n">
        <f aca="false">IF(14&lt;=$B$3,14,"")</f>
        <v>14</v>
      </c>
      <c r="B19" s="26" t="str">
        <f aca="false">IF($A19="","",INDEX('Data Input'!$C$6:$C$143,MATCH($A19,'Data Input'!$S$6:$S$143,0)))</f>
        <v>Monday</v>
      </c>
      <c r="C19" s="27" t="n">
        <f aca="false">IF($A19="","",INDEX('Data Input'!$D$6:$D$143,MATCH($A19,'Data Input'!$S$6:$S$143,0)))</f>
        <v>0.770833333333333</v>
      </c>
      <c r="D19" s="28" t="n">
        <f aca="false">IF($A19="","",INDEX('Data Input'!$L$6:$L$143,MATCH($A19,'Data Input'!$S$6:$S$143,0)))</f>
        <v>4.84770531400966</v>
      </c>
      <c r="E19" s="26" t="str">
        <f aca="false">IF($A19="","",IF(D19&gt;5,"Severe",IF(D19&gt;3,"Moderate","Minor")))</f>
        <v>Moderate</v>
      </c>
      <c r="F19" s="26" t="n">
        <f aca="false">IF($A19="","",INDEX('Data Input'!$F$6:$F$143,MATCH($A19,'Data Input'!$S$6:$S$143,0)))</f>
        <v>172</v>
      </c>
      <c r="G19" s="26" t="n">
        <f aca="false">IF($A19="","",INDEX('Data Input'!$H$6:$H$143,MATCH($A19,'Data Input'!$S$6:$S$143,0)))</f>
        <v>34</v>
      </c>
      <c r="H19" s="29" t="n">
        <f aca="false">IF($A19="","",INDEX('Data Input'!$I$6:$I$143,MATCH($A19,'Data Input'!$S$6:$S$143,0)))</f>
        <v>0.197674418604651</v>
      </c>
      <c r="I19" s="30" t="n">
        <f aca="false">IF($A19="","",INDEX('Data Input'!$M$6:$M$143,MATCH($A19,'Data Input'!$S$6:$S$143,0)))</f>
        <v>465.178082191781</v>
      </c>
      <c r="J19" s="26" t="str">
        <f aca="false">IF($A19="","",IFERROR(IF(INDEX('Data Input'!$Q$6:$Q$143,MATCH($A19,'Data Input'!$S$6:$S$143,0))="","",INDEX('Data Input'!$Q$6:$Q$143,MATCH($A19,'Data Input'!$S$6:$S$143,0))),""))</f>
        <v/>
      </c>
      <c r="K19" s="26" t="str">
        <f aca="false">IF($A19="","",IFERROR(IF(INDEX('Data Input'!$R$6:$R$143,MATCH($A19,'Data Input'!$S$6:$S$143,0))="","",INDEX('Data Input'!$R$6:$R$143,MATCH($A19,'Data Input'!$S$6:$S$143,0))),""))</f>
        <v/>
      </c>
    </row>
    <row r="20" customFormat="false" ht="15" hidden="false" customHeight="true" outlineLevel="0" collapsed="false">
      <c r="A20" s="25" t="n">
        <f aca="false">IF(15&lt;=$B$3,15,"")</f>
        <v>15</v>
      </c>
      <c r="B20" s="26" t="str">
        <f aca="false">IF($A20="","",INDEX('Data Input'!$C$6:$C$143,MATCH($A20,'Data Input'!$S$6:$S$143,0)))</f>
        <v>Monday</v>
      </c>
      <c r="C20" s="27" t="n">
        <f aca="false">IF($A20="","",INDEX('Data Input'!$D$6:$D$143,MATCH($A20,'Data Input'!$S$6:$S$143,0)))</f>
        <v>0.791666666666667</v>
      </c>
      <c r="D20" s="28" t="n">
        <f aca="false">IF($A20="","",INDEX('Data Input'!$L$6:$L$143,MATCH($A20,'Data Input'!$S$6:$S$143,0)))</f>
        <v>5.02113095238095</v>
      </c>
      <c r="E20" s="26" t="str">
        <f aca="false">IF($A20="","",IF(D20&gt;5,"Severe",IF(D20&gt;3,"Moderate","Minor")))</f>
        <v>Severe</v>
      </c>
      <c r="F20" s="26" t="n">
        <f aca="false">IF($A20="","",INDEX('Data Input'!$F$6:$F$143,MATCH($A20,'Data Input'!$S$6:$S$143,0)))</f>
        <v>66</v>
      </c>
      <c r="G20" s="26" t="n">
        <f aca="false">IF($A20="","",INDEX('Data Input'!$H$6:$H$143,MATCH($A20,'Data Input'!$S$6:$S$143,0)))</f>
        <v>10</v>
      </c>
      <c r="H20" s="29" t="n">
        <f aca="false">IF($A20="","",INDEX('Data Input'!$I$6:$I$143,MATCH($A20,'Data Input'!$S$6:$S$143,0)))</f>
        <v>0.151515151515152</v>
      </c>
      <c r="I20" s="30" t="n">
        <f aca="false">IF($A20="","",INDEX('Data Input'!$M$6:$M$143,MATCH($A20,'Data Input'!$S$6:$S$143,0)))</f>
        <v>551.409836065574</v>
      </c>
      <c r="J20" s="26" t="str">
        <f aca="false">IF($A20="","",IFERROR(IF(INDEX('Data Input'!$Q$6:$Q$143,MATCH($A20,'Data Input'!$S$6:$S$143,0))="","",INDEX('Data Input'!$Q$6:$Q$143,MATCH($A20,'Data Input'!$S$6:$S$143,0))),""))</f>
        <v/>
      </c>
      <c r="K20" s="26" t="str">
        <f aca="false">IF($A20="","",IFERROR(IF(INDEX('Data Input'!$R$6:$R$143,MATCH($A20,'Data Input'!$S$6:$S$143,0))="","",INDEX('Data Input'!$R$6:$R$143,MATCH($A20,'Data Input'!$S$6:$S$143,0))),""))</f>
        <v/>
      </c>
    </row>
    <row r="21" customFormat="false" ht="15" hidden="false" customHeight="true" outlineLevel="0" collapsed="false">
      <c r="A21" s="25" t="n">
        <f aca="false">IF(16&lt;=$B$3,16,"")</f>
        <v>16</v>
      </c>
      <c r="B21" s="26" t="str">
        <f aca="false">IF($A21="","",INDEX('Data Input'!$C$6:$C$143,MATCH($A21,'Data Input'!$S$6:$S$143,0)))</f>
        <v>Monday</v>
      </c>
      <c r="C21" s="27" t="n">
        <f aca="false">IF($A21="","",INDEX('Data Input'!$D$6:$D$143,MATCH($A21,'Data Input'!$S$6:$S$143,0)))</f>
        <v>0.8125</v>
      </c>
      <c r="D21" s="28" t="n">
        <f aca="false">IF($A21="","",INDEX('Data Input'!$L$6:$L$143,MATCH($A21,'Data Input'!$S$6:$S$143,0)))</f>
        <v>6.25</v>
      </c>
      <c r="E21" s="26" t="str">
        <f aca="false">IF($A21="","",IF(D21&gt;5,"Severe",IF(D21&gt;3,"Moderate","Minor")))</f>
        <v>Severe</v>
      </c>
      <c r="F21" s="26" t="n">
        <f aca="false">IF($A21="","",INDEX('Data Input'!$F$6:$F$143,MATCH($A21,'Data Input'!$S$6:$S$143,0)))</f>
        <v>4</v>
      </c>
      <c r="G21" s="26" t="n">
        <f aca="false">IF($A21="","",INDEX('Data Input'!$H$6:$H$143,MATCH($A21,'Data Input'!$S$6:$S$143,0)))</f>
        <v>0</v>
      </c>
      <c r="H21" s="29" t="n">
        <f aca="false">IF($A21="","",INDEX('Data Input'!$I$6:$I$143,MATCH($A21,'Data Input'!$S$6:$S$143,0)))</f>
        <v>0</v>
      </c>
      <c r="I21" s="30" t="n">
        <f aca="false">IF($A21="","",INDEX('Data Input'!$M$6:$M$143,MATCH($A21,'Data Input'!$S$6:$S$143,0)))</f>
        <v>354.8</v>
      </c>
      <c r="J21" s="26" t="str">
        <f aca="false">IF($A21="","",IFERROR(IF(INDEX('Data Input'!$Q$6:$Q$143,MATCH($A21,'Data Input'!$S$6:$S$143,0))="","",INDEX('Data Input'!$Q$6:$Q$143,MATCH($A21,'Data Input'!$S$6:$S$143,0))),""))</f>
        <v/>
      </c>
      <c r="K21" s="26" t="str">
        <f aca="false">IF($A21="","",IFERROR(IF(INDEX('Data Input'!$R$6:$R$143,MATCH($A21,'Data Input'!$S$6:$S$143,0))="","",INDEX('Data Input'!$R$6:$R$143,MATCH($A21,'Data Input'!$S$6:$S$143,0))),""))</f>
        <v/>
      </c>
    </row>
    <row r="22" customFormat="false" ht="15" hidden="false" customHeight="true" outlineLevel="0" collapsed="false">
      <c r="A22" s="25" t="n">
        <f aca="false">IF(17&lt;=$B$3,17,"")</f>
        <v>17</v>
      </c>
      <c r="B22" s="26" t="str">
        <f aca="false">IF($A22="","",INDEX('Data Input'!$C$6:$C$143,MATCH($A22,'Data Input'!$S$6:$S$143,0)))</f>
        <v>Tuesday</v>
      </c>
      <c r="C22" s="27" t="n">
        <f aca="false">IF($A22="","",INDEX('Data Input'!$D$6:$D$143,MATCH($A22,'Data Input'!$S$6:$S$143,0)))</f>
        <v>0.604166666666667</v>
      </c>
      <c r="D22" s="28" t="n">
        <f aca="false">IF($A22="","",INDEX('Data Input'!$L$6:$L$143,MATCH($A22,'Data Input'!$S$6:$S$143,0)))</f>
        <v>2.38707664884136</v>
      </c>
      <c r="E22" s="26" t="str">
        <f aca="false">IF($A22="","",IF(D22&gt;5,"Severe",IF(D22&gt;3,"Moderate","Minor")))</f>
        <v>Minor</v>
      </c>
      <c r="F22" s="26" t="n">
        <f aca="false">IF($A22="","",INDEX('Data Input'!$F$6:$F$143,MATCH($A22,'Data Input'!$S$6:$S$143,0)))</f>
        <v>206</v>
      </c>
      <c r="G22" s="26" t="n">
        <f aca="false">IF($A22="","",INDEX('Data Input'!$H$6:$H$143,MATCH($A22,'Data Input'!$S$6:$S$143,0)))</f>
        <v>19</v>
      </c>
      <c r="H22" s="29" t="n">
        <f aca="false">IF($A22="","",INDEX('Data Input'!$I$6:$I$143,MATCH($A22,'Data Input'!$S$6:$S$143,0)))</f>
        <v>0.0922330097087379</v>
      </c>
      <c r="I22" s="30" t="n">
        <f aca="false">IF($A22="","",INDEX('Data Input'!$M$6:$M$143,MATCH($A22,'Data Input'!$S$6:$S$143,0)))</f>
        <v>453.300518134715</v>
      </c>
      <c r="J22" s="26" t="str">
        <f aca="false">IF($A22="","",IFERROR(IF(INDEX('Data Input'!$Q$6:$Q$143,MATCH($A22,'Data Input'!$S$6:$S$143,0))="","",INDEX('Data Input'!$Q$6:$Q$143,MATCH($A22,'Data Input'!$S$6:$S$143,0))),""))</f>
        <v/>
      </c>
      <c r="K22" s="26" t="str">
        <f aca="false">IF($A22="","",IFERROR(IF(INDEX('Data Input'!$R$6:$R$143,MATCH($A22,'Data Input'!$S$6:$S$143,0))="","",INDEX('Data Input'!$R$6:$R$143,MATCH($A22,'Data Input'!$S$6:$S$143,0))),""))</f>
        <v/>
      </c>
    </row>
    <row r="23" customFormat="false" ht="15" hidden="false" customHeight="true" outlineLevel="0" collapsed="false">
      <c r="A23" s="25" t="n">
        <f aca="false">IF(18&lt;=$B$3,18,"")</f>
        <v>18</v>
      </c>
      <c r="B23" s="26" t="str">
        <f aca="false">IF($A23="","",INDEX('Data Input'!$C$6:$C$143,MATCH($A23,'Data Input'!$S$6:$S$143,0)))</f>
        <v>Wednesday</v>
      </c>
      <c r="C23" s="27" t="n">
        <f aca="false">IF($A23="","",INDEX('Data Input'!$D$6:$D$143,MATCH($A23,'Data Input'!$S$6:$S$143,0)))</f>
        <v>0.416666666666667</v>
      </c>
      <c r="D23" s="28" t="n">
        <f aca="false">IF($A23="","",INDEX('Data Input'!$L$6:$L$143,MATCH($A23,'Data Input'!$S$6:$S$143,0)))</f>
        <v>3.25418943533698</v>
      </c>
      <c r="E23" s="26" t="str">
        <f aca="false">IF($A23="","",IF(D23&gt;5,"Severe",IF(D23&gt;3,"Moderate","Minor")))</f>
        <v>Moderate</v>
      </c>
      <c r="F23" s="26" t="n">
        <f aca="false">IF($A23="","",INDEX('Data Input'!$F$6:$F$143,MATCH($A23,'Data Input'!$S$6:$S$143,0)))</f>
        <v>221</v>
      </c>
      <c r="G23" s="26" t="n">
        <f aca="false">IF($A23="","",INDEX('Data Input'!$H$6:$H$143,MATCH($A23,'Data Input'!$S$6:$S$143,0)))</f>
        <v>38</v>
      </c>
      <c r="H23" s="29" t="n">
        <f aca="false">IF($A23="","",INDEX('Data Input'!$I$6:$I$143,MATCH($A23,'Data Input'!$S$6:$S$143,0)))</f>
        <v>0.171945701357466</v>
      </c>
      <c r="I23" s="30" t="n">
        <f aca="false">IF($A23="","",INDEX('Data Input'!$M$6:$M$143,MATCH($A23,'Data Input'!$S$6:$S$143,0)))</f>
        <v>402.124324324324</v>
      </c>
      <c r="J23" s="26" t="str">
        <f aca="false">IF($A23="","",IFERROR(IF(INDEX('Data Input'!$Q$6:$Q$143,MATCH($A23,'Data Input'!$S$6:$S$143,0))="","",INDEX('Data Input'!$Q$6:$Q$143,MATCH($A23,'Data Input'!$S$6:$S$143,0))),""))</f>
        <v/>
      </c>
      <c r="K23" s="26" t="str">
        <f aca="false">IF($A23="","",IFERROR(IF(INDEX('Data Input'!$R$6:$R$143,MATCH($A23,'Data Input'!$S$6:$S$143,0))="","",INDEX('Data Input'!$R$6:$R$143,MATCH($A23,'Data Input'!$S$6:$S$143,0))),""))</f>
        <v/>
      </c>
    </row>
    <row r="24" customFormat="false" ht="15" hidden="false" customHeight="true" outlineLevel="0" collapsed="false">
      <c r="A24" s="25" t="n">
        <f aca="false">IF(19&lt;=$B$3,19,"")</f>
        <v>19</v>
      </c>
      <c r="B24" s="26" t="str">
        <f aca="false">IF($A24="","",INDEX('Data Input'!$C$6:$C$143,MATCH($A24,'Data Input'!$S$6:$S$143,0)))</f>
        <v>Wednesday</v>
      </c>
      <c r="C24" s="27" t="n">
        <f aca="false">IF($A24="","",INDEX('Data Input'!$D$6:$D$143,MATCH($A24,'Data Input'!$S$6:$S$143,0)))</f>
        <v>0.4375</v>
      </c>
      <c r="D24" s="28" t="n">
        <f aca="false">IF($A24="","",INDEX('Data Input'!$L$6:$L$143,MATCH($A24,'Data Input'!$S$6:$S$143,0)))</f>
        <v>3.68513708513709</v>
      </c>
      <c r="E24" s="26" t="str">
        <f aca="false">IF($A24="","",IF(D24&gt;5,"Severe",IF(D24&gt;3,"Moderate","Minor")))</f>
        <v>Moderate</v>
      </c>
      <c r="F24" s="26" t="n">
        <f aca="false">IF($A24="","",INDEX('Data Input'!$F$6:$F$143,MATCH($A24,'Data Input'!$S$6:$S$143,0)))</f>
        <v>259</v>
      </c>
      <c r="G24" s="26" t="n">
        <f aca="false">IF($A24="","",INDEX('Data Input'!$H$6:$H$143,MATCH($A24,'Data Input'!$S$6:$S$143,0)))</f>
        <v>28</v>
      </c>
      <c r="H24" s="29" t="n">
        <f aca="false">IF($A24="","",INDEX('Data Input'!$I$6:$I$143,MATCH($A24,'Data Input'!$S$6:$S$143,0)))</f>
        <v>0.108108108108108</v>
      </c>
      <c r="I24" s="30" t="n">
        <f aca="false">IF($A24="","",INDEX('Data Input'!$M$6:$M$143,MATCH($A24,'Data Input'!$S$6:$S$143,0)))</f>
        <v>454.634042553192</v>
      </c>
      <c r="J24" s="26" t="str">
        <f aca="false">IF($A24="","",IFERROR(IF(INDEX('Data Input'!$Q$6:$Q$143,MATCH($A24,'Data Input'!$S$6:$S$143,0))="","",INDEX('Data Input'!$Q$6:$Q$143,MATCH($A24,'Data Input'!$S$6:$S$143,0))),""))</f>
        <v/>
      </c>
      <c r="K24" s="26" t="str">
        <f aca="false">IF($A24="","",IFERROR(IF(INDEX('Data Input'!$R$6:$R$143,MATCH($A24,'Data Input'!$S$6:$S$143,0))="","",INDEX('Data Input'!$R$6:$R$143,MATCH($A24,'Data Input'!$S$6:$S$143,0))),""))</f>
        <v/>
      </c>
    </row>
    <row r="25" customFormat="false" ht="15" hidden="false" customHeight="true" outlineLevel="0" collapsed="false">
      <c r="A25" s="25" t="n">
        <f aca="false">IF(20&lt;=$B$3,20,"")</f>
        <v>20</v>
      </c>
      <c r="B25" s="26" t="str">
        <f aca="false">IF($A25="","",INDEX('Data Input'!$C$6:$C$143,MATCH($A25,'Data Input'!$S$6:$S$143,0)))</f>
        <v>Wednesday</v>
      </c>
      <c r="C25" s="27" t="n">
        <f aca="false">IF($A25="","",INDEX('Data Input'!$D$6:$D$143,MATCH($A25,'Data Input'!$S$6:$S$143,0)))</f>
        <v>0.458333333333333</v>
      </c>
      <c r="D25" s="28" t="n">
        <f aca="false">IF($A25="","",INDEX('Data Input'!$L$6:$L$143,MATCH($A25,'Data Input'!$S$6:$S$143,0)))</f>
        <v>2.4049059139785</v>
      </c>
      <c r="E25" s="26" t="str">
        <f aca="false">IF($A25="","",IF(D25&gt;5,"Severe",IF(D25&gt;3,"Moderate","Minor")))</f>
        <v>Minor</v>
      </c>
      <c r="F25" s="26" t="n">
        <f aca="false">IF($A25="","",INDEX('Data Input'!$F$6:$F$143,MATCH($A25,'Data Input'!$S$6:$S$143,0)))</f>
        <v>271</v>
      </c>
      <c r="G25" s="26" t="n">
        <f aca="false">IF($A25="","",INDEX('Data Input'!$H$6:$H$143,MATCH($A25,'Data Input'!$S$6:$S$143,0)))</f>
        <v>23</v>
      </c>
      <c r="H25" s="29" t="n">
        <f aca="false">IF($A25="","",INDEX('Data Input'!$I$6:$I$143,MATCH($A25,'Data Input'!$S$6:$S$143,0)))</f>
        <v>0.0848708487084871</v>
      </c>
      <c r="I25" s="30" t="n">
        <f aca="false">IF($A25="","",INDEX('Data Input'!$M$6:$M$143,MATCH($A25,'Data Input'!$S$6:$S$143,0)))</f>
        <v>455.980158730159</v>
      </c>
      <c r="J25" s="26" t="str">
        <f aca="false">IF($A25="","",IFERROR(IF(INDEX('Data Input'!$Q$6:$Q$143,MATCH($A25,'Data Input'!$S$6:$S$143,0))="","",INDEX('Data Input'!$Q$6:$Q$143,MATCH($A25,'Data Input'!$S$6:$S$143,0))),""))</f>
        <v/>
      </c>
      <c r="K25" s="26" t="str">
        <f aca="false">IF($A25="","",IFERROR(IF(INDEX('Data Input'!$R$6:$R$143,MATCH($A25,'Data Input'!$S$6:$S$143,0))="","",INDEX('Data Input'!$R$6:$R$143,MATCH($A25,'Data Input'!$S$6:$S$143,0))),""))</f>
        <v/>
      </c>
    </row>
    <row r="26" customFormat="false" ht="15" hidden="false" customHeight="true" outlineLevel="0" collapsed="false">
      <c r="A26" s="25" t="n">
        <f aca="false">IF(21&lt;=$B$3,21,"")</f>
        <v>21</v>
      </c>
      <c r="B26" s="26" t="str">
        <f aca="false">IF($A26="","",INDEX('Data Input'!$C$6:$C$143,MATCH($A26,'Data Input'!$S$6:$S$143,0)))</f>
        <v>Wednesday</v>
      </c>
      <c r="C26" s="27" t="n">
        <f aca="false">IF($A26="","",INDEX('Data Input'!$D$6:$D$143,MATCH($A26,'Data Input'!$S$6:$S$143,0)))</f>
        <v>0.5</v>
      </c>
      <c r="D26" s="28" t="n">
        <f aca="false">IF($A26="","",INDEX('Data Input'!$L$6:$L$143,MATCH($A26,'Data Input'!$S$6:$S$143,0)))</f>
        <v>3.24579889807163</v>
      </c>
      <c r="E26" s="26" t="str">
        <f aca="false">IF($A26="","",IF(D26&gt;5,"Severe",IF(D26&gt;3,"Moderate","Minor")))</f>
        <v>Moderate</v>
      </c>
      <c r="F26" s="26" t="n">
        <f aca="false">IF($A26="","",INDEX('Data Input'!$F$6:$F$143,MATCH($A26,'Data Input'!$S$6:$S$143,0)))</f>
        <v>276</v>
      </c>
      <c r="G26" s="26" t="n">
        <f aca="false">IF($A26="","",INDEX('Data Input'!$H$6:$H$143,MATCH($A26,'Data Input'!$S$6:$S$143,0)))</f>
        <v>34</v>
      </c>
      <c r="H26" s="29" t="n">
        <f aca="false">IF($A26="","",INDEX('Data Input'!$I$6:$I$143,MATCH($A26,'Data Input'!$S$6:$S$143,0)))</f>
        <v>0.123188405797102</v>
      </c>
      <c r="I26" s="30" t="n">
        <f aca="false">IF($A26="","",INDEX('Data Input'!$M$6:$M$143,MATCH($A26,'Data Input'!$S$6:$S$143,0)))</f>
        <v>444.767068273092</v>
      </c>
      <c r="J26" s="26" t="str">
        <f aca="false">IF($A26="","",IFERROR(IF(INDEX('Data Input'!$Q$6:$Q$143,MATCH($A26,'Data Input'!$S$6:$S$143,0))="","",INDEX('Data Input'!$Q$6:$Q$143,MATCH($A26,'Data Input'!$S$6:$S$143,0))),""))</f>
        <v/>
      </c>
      <c r="K26" s="26" t="str">
        <f aca="false">IF($A26="","",IFERROR(IF(INDEX('Data Input'!$R$6:$R$143,MATCH($A26,'Data Input'!$S$6:$S$143,0))="","",INDEX('Data Input'!$R$6:$R$143,MATCH($A26,'Data Input'!$S$6:$S$143,0))),""))</f>
        <v/>
      </c>
    </row>
    <row r="27" customFormat="false" ht="15" hidden="false" customHeight="true" outlineLevel="0" collapsed="false">
      <c r="A27" s="25" t="n">
        <f aca="false">IF(22&lt;=$B$3,22,"")</f>
        <v>22</v>
      </c>
      <c r="B27" s="26" t="str">
        <f aca="false">IF($A27="","",INDEX('Data Input'!$C$6:$C$143,MATCH($A27,'Data Input'!$S$6:$S$143,0)))</f>
        <v>Wednesday</v>
      </c>
      <c r="C27" s="27" t="n">
        <f aca="false">IF($A27="","",INDEX('Data Input'!$D$6:$D$143,MATCH($A27,'Data Input'!$S$6:$S$143,0)))</f>
        <v>0.520833333333333</v>
      </c>
      <c r="D27" s="28" t="n">
        <f aca="false">IF($A27="","",INDEX('Data Input'!$L$6:$L$143,MATCH($A27,'Data Input'!$S$6:$S$143,0)))</f>
        <v>4.36296296296296</v>
      </c>
      <c r="E27" s="26" t="str">
        <f aca="false">IF($A27="","",IF(D27&gt;5,"Severe",IF(D27&gt;3,"Moderate","Minor")))</f>
        <v>Moderate</v>
      </c>
      <c r="F27" s="26" t="n">
        <f aca="false">IF($A27="","",INDEX('Data Input'!$F$6:$F$143,MATCH($A27,'Data Input'!$S$6:$S$143,0)))</f>
        <v>268</v>
      </c>
      <c r="G27" s="26" t="n">
        <f aca="false">IF($A27="","",INDEX('Data Input'!$H$6:$H$143,MATCH($A27,'Data Input'!$S$6:$S$143,0)))</f>
        <v>61</v>
      </c>
      <c r="H27" s="29" t="n">
        <f aca="false">IF($A27="","",INDEX('Data Input'!$I$6:$I$143,MATCH($A27,'Data Input'!$S$6:$S$143,0)))</f>
        <v>0.227611940298508</v>
      </c>
      <c r="I27" s="30" t="n">
        <f aca="false">IF($A27="","",INDEX('Data Input'!$M$6:$M$143,MATCH($A27,'Data Input'!$S$6:$S$143,0)))</f>
        <v>436.467889908257</v>
      </c>
      <c r="J27" s="26" t="str">
        <f aca="false">IF($A27="","",IFERROR(IF(INDEX('Data Input'!$Q$6:$Q$143,MATCH($A27,'Data Input'!$S$6:$S$143,0))="","",INDEX('Data Input'!$Q$6:$Q$143,MATCH($A27,'Data Input'!$S$6:$S$143,0))),""))</f>
        <v/>
      </c>
      <c r="K27" s="26" t="str">
        <f aca="false">IF($A27="","",IFERROR(IF(INDEX('Data Input'!$R$6:$R$143,MATCH($A27,'Data Input'!$S$6:$S$143,0))="","",INDEX('Data Input'!$R$6:$R$143,MATCH($A27,'Data Input'!$S$6:$S$143,0))),""))</f>
        <v/>
      </c>
    </row>
    <row r="28" customFormat="false" ht="15" hidden="false" customHeight="true" outlineLevel="0" collapsed="false">
      <c r="A28" s="25" t="n">
        <f aca="false">IF(23&lt;=$B$3,23,"")</f>
        <v>23</v>
      </c>
      <c r="B28" s="26" t="str">
        <f aca="false">IF($A28="","",INDEX('Data Input'!$C$6:$C$143,MATCH($A28,'Data Input'!$S$6:$S$143,0)))</f>
        <v>Wednesday</v>
      </c>
      <c r="C28" s="27" t="n">
        <f aca="false">IF($A28="","",INDEX('Data Input'!$D$6:$D$143,MATCH($A28,'Data Input'!$S$6:$S$143,0)))</f>
        <v>0.541666666666667</v>
      </c>
      <c r="D28" s="28" t="n">
        <f aca="false">IF($A28="","",INDEX('Data Input'!$L$6:$L$143,MATCH($A28,'Data Input'!$S$6:$S$143,0)))</f>
        <v>4.45890937019969</v>
      </c>
      <c r="E28" s="26" t="str">
        <f aca="false">IF($A28="","",IF(D28&gt;5,"Severe",IF(D28&gt;3,"Moderate","Minor")))</f>
        <v>Moderate</v>
      </c>
      <c r="F28" s="26" t="n">
        <f aca="false">IF($A28="","",INDEX('Data Input'!$F$6:$F$143,MATCH($A28,'Data Input'!$S$6:$S$143,0)))</f>
        <v>257</v>
      </c>
      <c r="G28" s="26" t="n">
        <f aca="false">IF($A28="","",INDEX('Data Input'!$H$6:$H$143,MATCH($A28,'Data Input'!$S$6:$S$143,0)))</f>
        <v>40</v>
      </c>
      <c r="H28" s="29" t="n">
        <f aca="false">IF($A28="","",INDEX('Data Input'!$I$6:$I$143,MATCH($A28,'Data Input'!$S$6:$S$143,0)))</f>
        <v>0.155642023346304</v>
      </c>
      <c r="I28" s="30" t="n">
        <f aca="false">IF($A28="","",INDEX('Data Input'!$M$6:$M$143,MATCH($A28,'Data Input'!$S$6:$S$143,0)))</f>
        <v>407.85201793722</v>
      </c>
      <c r="J28" s="26" t="str">
        <f aca="false">IF($A28="","",IFERROR(IF(INDEX('Data Input'!$Q$6:$Q$143,MATCH($A28,'Data Input'!$S$6:$S$143,0))="","",INDEX('Data Input'!$Q$6:$Q$143,MATCH($A28,'Data Input'!$S$6:$S$143,0))),""))</f>
        <v/>
      </c>
      <c r="K28" s="26" t="str">
        <f aca="false">IF($A28="","",IFERROR(IF(INDEX('Data Input'!$R$6:$R$143,MATCH($A28,'Data Input'!$S$6:$S$143,0))="","",INDEX('Data Input'!$R$6:$R$143,MATCH($A28,'Data Input'!$S$6:$S$143,0))),""))</f>
        <v/>
      </c>
    </row>
    <row r="29" customFormat="false" ht="15" hidden="false" customHeight="true" outlineLevel="0" collapsed="false">
      <c r="A29" s="25" t="n">
        <f aca="false">IF(24&lt;=$B$3,24,"")</f>
        <v>24</v>
      </c>
      <c r="B29" s="26" t="str">
        <f aca="false">IF($A29="","",INDEX('Data Input'!$C$6:$C$143,MATCH($A29,'Data Input'!$S$6:$S$143,0)))</f>
        <v>Wednesday</v>
      </c>
      <c r="C29" s="27" t="n">
        <f aca="false">IF($A29="","",INDEX('Data Input'!$D$6:$D$143,MATCH($A29,'Data Input'!$S$6:$S$143,0)))</f>
        <v>0.5625</v>
      </c>
      <c r="D29" s="28" t="n">
        <f aca="false">IF($A29="","",INDEX('Data Input'!$L$6:$L$143,MATCH($A29,'Data Input'!$S$6:$S$143,0)))</f>
        <v>4.00431145431145</v>
      </c>
      <c r="E29" s="26" t="str">
        <f aca="false">IF($A29="","",IF(D29&gt;5,"Severe",IF(D29&gt;3,"Moderate","Minor")))</f>
        <v>Moderate</v>
      </c>
      <c r="F29" s="26" t="n">
        <f aca="false">IF($A29="","",INDEX('Data Input'!$F$6:$F$143,MATCH($A29,'Data Input'!$S$6:$S$143,0)))</f>
        <v>302</v>
      </c>
      <c r="G29" s="26" t="n">
        <f aca="false">IF($A29="","",INDEX('Data Input'!$H$6:$H$143,MATCH($A29,'Data Input'!$S$6:$S$143,0)))</f>
        <v>43</v>
      </c>
      <c r="H29" s="29" t="n">
        <f aca="false">IF($A29="","",INDEX('Data Input'!$I$6:$I$143,MATCH($A29,'Data Input'!$S$6:$S$143,0)))</f>
        <v>0.142384105960265</v>
      </c>
      <c r="I29" s="30" t="n">
        <f aca="false">IF($A29="","",INDEX('Data Input'!$M$6:$M$143,MATCH($A29,'Data Input'!$S$6:$S$143,0)))</f>
        <v>434.38202247191</v>
      </c>
      <c r="J29" s="26" t="str">
        <f aca="false">IF($A29="","",IFERROR(IF(INDEX('Data Input'!$Q$6:$Q$143,MATCH($A29,'Data Input'!$S$6:$S$143,0))="","",INDEX('Data Input'!$Q$6:$Q$143,MATCH($A29,'Data Input'!$S$6:$S$143,0))),""))</f>
        <v/>
      </c>
      <c r="K29" s="26" t="str">
        <f aca="false">IF($A29="","",IFERROR(IF(INDEX('Data Input'!$R$6:$R$143,MATCH($A29,'Data Input'!$S$6:$S$143,0))="","",INDEX('Data Input'!$R$6:$R$143,MATCH($A29,'Data Input'!$S$6:$S$143,0))),""))</f>
        <v/>
      </c>
    </row>
    <row r="30" customFormat="false" ht="15" hidden="false" customHeight="true" outlineLevel="0" collapsed="false">
      <c r="A30" s="25" t="n">
        <f aca="false">IF(25&lt;=$B$3,25,"")</f>
        <v>25</v>
      </c>
      <c r="B30" s="26" t="str">
        <f aca="false">IF($A30="","",INDEX('Data Input'!$C$6:$C$143,MATCH($A30,'Data Input'!$S$6:$S$143,0)))</f>
        <v>Wednesday</v>
      </c>
      <c r="C30" s="27" t="n">
        <f aca="false">IF($A30="","",INDEX('Data Input'!$D$6:$D$143,MATCH($A30,'Data Input'!$S$6:$S$143,0)))</f>
        <v>0.583333333333333</v>
      </c>
      <c r="D30" s="28" t="n">
        <f aca="false">IF($A30="","",INDEX('Data Input'!$L$6:$L$143,MATCH($A30,'Data Input'!$S$6:$S$143,0)))</f>
        <v>4.40163551401869</v>
      </c>
      <c r="E30" s="26" t="str">
        <f aca="false">IF($A30="","",IF(D30&gt;5,"Severe",IF(D30&gt;3,"Moderate","Minor")))</f>
        <v>Moderate</v>
      </c>
      <c r="F30" s="26" t="n">
        <f aca="false">IF($A30="","",INDEX('Data Input'!$F$6:$F$143,MATCH($A30,'Data Input'!$S$6:$S$143,0)))</f>
        <v>251</v>
      </c>
      <c r="G30" s="26" t="n">
        <f aca="false">IF($A30="","",INDEX('Data Input'!$H$6:$H$143,MATCH($A30,'Data Input'!$S$6:$S$143,0)))</f>
        <v>37</v>
      </c>
      <c r="H30" s="29" t="n">
        <f aca="false">IF($A30="","",INDEX('Data Input'!$I$6:$I$143,MATCH($A30,'Data Input'!$S$6:$S$143,0)))</f>
        <v>0.147410358565737</v>
      </c>
      <c r="I30" s="30" t="n">
        <f aca="false">IF($A30="","",INDEX('Data Input'!$M$6:$M$143,MATCH($A30,'Data Input'!$S$6:$S$143,0)))</f>
        <v>416.520179372197</v>
      </c>
      <c r="J30" s="26" t="str">
        <f aca="false">IF($A30="","",IFERROR(IF(INDEX('Data Input'!$Q$6:$Q$143,MATCH($A30,'Data Input'!$S$6:$S$143,0))="","",INDEX('Data Input'!$Q$6:$Q$143,MATCH($A30,'Data Input'!$S$6:$S$143,0))),""))</f>
        <v/>
      </c>
      <c r="K30" s="26" t="str">
        <f aca="false">IF($A30="","",IFERROR(IF(INDEX('Data Input'!$R$6:$R$143,MATCH($A30,'Data Input'!$S$6:$S$143,0))="","",INDEX('Data Input'!$R$6:$R$143,MATCH($A30,'Data Input'!$S$6:$S$143,0))),""))</f>
        <v/>
      </c>
    </row>
    <row r="31" customFormat="false" ht="15" hidden="false" customHeight="true" outlineLevel="0" collapsed="false">
      <c r="A31" s="25" t="n">
        <f aca="false">IF(26&lt;=$B$3,26,"")</f>
        <v>26</v>
      </c>
      <c r="B31" s="26" t="str">
        <f aca="false">IF($A31="","",INDEX('Data Input'!$C$6:$C$143,MATCH($A31,'Data Input'!$S$6:$S$143,0)))</f>
        <v>Wednesday</v>
      </c>
      <c r="C31" s="27" t="n">
        <f aca="false">IF($A31="","",INDEX('Data Input'!$D$6:$D$143,MATCH($A31,'Data Input'!$S$6:$S$143,0)))</f>
        <v>0.604166666666667</v>
      </c>
      <c r="D31" s="28" t="n">
        <f aca="false">IF($A31="","",INDEX('Data Input'!$L$6:$L$143,MATCH($A31,'Data Input'!$S$6:$S$143,0)))</f>
        <v>5.98637316561845</v>
      </c>
      <c r="E31" s="26" t="str">
        <f aca="false">IF($A31="","",IF(D31&gt;5,"Severe",IF(D31&gt;3,"Moderate","Minor")))</f>
        <v>Severe</v>
      </c>
      <c r="F31" s="26" t="n">
        <f aca="false">IF($A31="","",INDEX('Data Input'!$F$6:$F$143,MATCH($A31,'Data Input'!$S$6:$S$143,0)))</f>
        <v>240</v>
      </c>
      <c r="G31" s="26" t="n">
        <f aca="false">IF($A31="","",INDEX('Data Input'!$H$6:$H$143,MATCH($A31,'Data Input'!$S$6:$S$143,0)))</f>
        <v>81</v>
      </c>
      <c r="H31" s="29" t="n">
        <f aca="false">IF($A31="","",INDEX('Data Input'!$I$6:$I$143,MATCH($A31,'Data Input'!$S$6:$S$143,0)))</f>
        <v>0.3375</v>
      </c>
      <c r="I31" s="30" t="n">
        <f aca="false">IF($A31="","",INDEX('Data Input'!$M$6:$M$143,MATCH($A31,'Data Input'!$S$6:$S$143,0)))</f>
        <v>463.560240963855</v>
      </c>
      <c r="J31" s="26" t="str">
        <f aca="false">IF($A31="","",IFERROR(IF(INDEX('Data Input'!$Q$6:$Q$143,MATCH($A31,'Data Input'!$S$6:$S$143,0))="","",INDEX('Data Input'!$Q$6:$Q$143,MATCH($A31,'Data Input'!$S$6:$S$143,0))),""))</f>
        <v/>
      </c>
      <c r="K31" s="26" t="str">
        <f aca="false">IF($A31="","",IFERROR(IF(INDEX('Data Input'!$R$6:$R$143,MATCH($A31,'Data Input'!$S$6:$S$143,0))="","",INDEX('Data Input'!$R$6:$R$143,MATCH($A31,'Data Input'!$S$6:$S$143,0))),""))</f>
        <v/>
      </c>
    </row>
    <row r="32" customFormat="false" ht="15" hidden="false" customHeight="true" outlineLevel="0" collapsed="false">
      <c r="A32" s="25" t="n">
        <f aca="false">IF(27&lt;=$B$3,27,"")</f>
        <v>27</v>
      </c>
      <c r="B32" s="26" t="str">
        <f aca="false">IF($A32="","",INDEX('Data Input'!$C$6:$C$143,MATCH($A32,'Data Input'!$S$6:$S$143,0)))</f>
        <v>Wednesday</v>
      </c>
      <c r="C32" s="27" t="n">
        <f aca="false">IF($A32="","",INDEX('Data Input'!$D$6:$D$143,MATCH($A32,'Data Input'!$S$6:$S$143,0)))</f>
        <v>0.625</v>
      </c>
      <c r="D32" s="28" t="n">
        <f aca="false">IF($A32="","",INDEX('Data Input'!$L$6:$L$143,MATCH($A32,'Data Input'!$S$6:$S$143,0)))</f>
        <v>5.96471962616822</v>
      </c>
      <c r="E32" s="26" t="str">
        <f aca="false">IF($A32="","",IF(D32&gt;5,"Severe",IF(D32&gt;3,"Moderate","Minor")))</f>
        <v>Severe</v>
      </c>
      <c r="F32" s="26" t="n">
        <f aca="false">IF($A32="","",INDEX('Data Input'!$F$6:$F$143,MATCH($A32,'Data Input'!$S$6:$S$143,0)))</f>
        <v>264</v>
      </c>
      <c r="G32" s="26" t="n">
        <f aca="false">IF($A32="","",INDEX('Data Input'!$H$6:$H$143,MATCH($A32,'Data Input'!$S$6:$S$143,0)))</f>
        <v>50</v>
      </c>
      <c r="H32" s="29" t="n">
        <f aca="false">IF($A32="","",INDEX('Data Input'!$I$6:$I$143,MATCH($A32,'Data Input'!$S$6:$S$143,0)))</f>
        <v>0.189393939393939</v>
      </c>
      <c r="I32" s="30" t="n">
        <f aca="false">IF($A32="","",INDEX('Data Input'!$M$6:$M$143,MATCH($A32,'Data Input'!$S$6:$S$143,0)))</f>
        <v>441.334841628959</v>
      </c>
      <c r="J32" s="26" t="str">
        <f aca="false">IF($A32="","",IFERROR(IF(INDEX('Data Input'!$Q$6:$Q$143,MATCH($A32,'Data Input'!$S$6:$S$143,0))="","",INDEX('Data Input'!$Q$6:$Q$143,MATCH($A32,'Data Input'!$S$6:$S$143,0))),""))</f>
        <v/>
      </c>
      <c r="K32" s="26" t="str">
        <f aca="false">IF($A32="","",IFERROR(IF(INDEX('Data Input'!$R$6:$R$143,MATCH($A32,'Data Input'!$S$6:$S$143,0))="","",INDEX('Data Input'!$R$6:$R$143,MATCH($A32,'Data Input'!$S$6:$S$143,0))),""))</f>
        <v/>
      </c>
    </row>
    <row r="33" customFormat="false" ht="15" hidden="false" customHeight="true" outlineLevel="0" collapsed="false">
      <c r="A33" s="25" t="n">
        <f aca="false">IF(28&lt;=$B$3,28,"")</f>
        <v>28</v>
      </c>
      <c r="B33" s="26" t="str">
        <f aca="false">IF($A33="","",INDEX('Data Input'!$C$6:$C$143,MATCH($A33,'Data Input'!$S$6:$S$143,0)))</f>
        <v>Wednesday</v>
      </c>
      <c r="C33" s="27" t="n">
        <f aca="false">IF($A33="","",INDEX('Data Input'!$D$6:$D$143,MATCH($A33,'Data Input'!$S$6:$S$143,0)))</f>
        <v>0.645833333333333</v>
      </c>
      <c r="D33" s="28" t="n">
        <f aca="false">IF($A33="","",INDEX('Data Input'!$L$6:$L$143,MATCH($A33,'Data Input'!$S$6:$S$143,0)))</f>
        <v>2.62178423236515</v>
      </c>
      <c r="E33" s="26" t="str">
        <f aca="false">IF($A33="","",IF(D33&gt;5,"Severe",IF(D33&gt;3,"Moderate","Minor")))</f>
        <v>Minor</v>
      </c>
      <c r="F33" s="26" t="n">
        <f aca="false">IF($A33="","",INDEX('Data Input'!$F$6:$F$143,MATCH($A33,'Data Input'!$S$6:$S$143,0)))</f>
        <v>261</v>
      </c>
      <c r="G33" s="26" t="n">
        <f aca="false">IF($A33="","",INDEX('Data Input'!$H$6:$H$143,MATCH($A33,'Data Input'!$S$6:$S$143,0)))</f>
        <v>20</v>
      </c>
      <c r="H33" s="29" t="n">
        <f aca="false">IF($A33="","",INDEX('Data Input'!$I$6:$I$143,MATCH($A33,'Data Input'!$S$6:$S$143,0)))</f>
        <v>0.0766283524904215</v>
      </c>
      <c r="I33" s="30" t="n">
        <f aca="false">IF($A33="","",INDEX('Data Input'!$M$6:$M$143,MATCH($A33,'Data Input'!$S$6:$S$143,0)))</f>
        <v>477.288617886179</v>
      </c>
      <c r="J33" s="26" t="str">
        <f aca="false">IF($A33="","",IFERROR(IF(INDEX('Data Input'!$Q$6:$Q$143,MATCH($A33,'Data Input'!$S$6:$S$143,0))="","",INDEX('Data Input'!$Q$6:$Q$143,MATCH($A33,'Data Input'!$S$6:$S$143,0))),""))</f>
        <v/>
      </c>
      <c r="K33" s="26" t="str">
        <f aca="false">IF($A33="","",IFERROR(IF(INDEX('Data Input'!$R$6:$R$143,MATCH($A33,'Data Input'!$S$6:$S$143,0))="","",INDEX('Data Input'!$R$6:$R$143,MATCH($A33,'Data Input'!$S$6:$S$143,0))),""))</f>
        <v/>
      </c>
    </row>
    <row r="34" customFormat="false" ht="15" hidden="false" customHeight="true" outlineLevel="0" collapsed="false">
      <c r="A34" s="25" t="n">
        <f aca="false">IF(29&lt;=$B$3,29,"")</f>
        <v>29</v>
      </c>
      <c r="B34" s="26" t="str">
        <f aca="false">IF($A34="","",INDEX('Data Input'!$C$6:$C$143,MATCH($A34,'Data Input'!$S$6:$S$143,0)))</f>
        <v>Wednesday</v>
      </c>
      <c r="C34" s="27" t="n">
        <f aca="false">IF($A34="","",INDEX('Data Input'!$D$6:$D$143,MATCH($A34,'Data Input'!$S$6:$S$143,0)))</f>
        <v>0.708333333333333</v>
      </c>
      <c r="D34" s="28" t="n">
        <f aca="false">IF($A34="","",INDEX('Data Input'!$L$6:$L$143,MATCH($A34,'Data Input'!$S$6:$S$143,0)))</f>
        <v>2.53528806584362</v>
      </c>
      <c r="E34" s="26" t="str">
        <f aca="false">IF($A34="","",IF(D34&gt;5,"Severe",IF(D34&gt;3,"Moderate","Minor")))</f>
        <v>Minor</v>
      </c>
      <c r="F34" s="26" t="n">
        <f aca="false">IF($A34="","",INDEX('Data Input'!$F$6:$F$143,MATCH($A34,'Data Input'!$S$6:$S$143,0)))</f>
        <v>208</v>
      </c>
      <c r="G34" s="26" t="n">
        <f aca="false">IF($A34="","",INDEX('Data Input'!$H$6:$H$143,MATCH($A34,'Data Input'!$S$6:$S$143,0)))</f>
        <v>46</v>
      </c>
      <c r="H34" s="29" t="n">
        <f aca="false">IF($A34="","",INDEX('Data Input'!$I$6:$I$143,MATCH($A34,'Data Input'!$S$6:$S$143,0)))</f>
        <v>0.221153846153846</v>
      </c>
      <c r="I34" s="30" t="n">
        <f aca="false">IF($A34="","",INDEX('Data Input'!$M$6:$M$143,MATCH($A34,'Data Input'!$S$6:$S$143,0)))</f>
        <v>467.701149425287</v>
      </c>
      <c r="J34" s="26" t="str">
        <f aca="false">IF($A34="","",IFERROR(IF(INDEX('Data Input'!$Q$6:$Q$143,MATCH($A34,'Data Input'!$S$6:$S$143,0))="","",INDEX('Data Input'!$Q$6:$Q$143,MATCH($A34,'Data Input'!$S$6:$S$143,0))),""))</f>
        <v/>
      </c>
      <c r="K34" s="26" t="str">
        <f aca="false">IF($A34="","",IFERROR(IF(INDEX('Data Input'!$R$6:$R$143,MATCH($A34,'Data Input'!$S$6:$S$143,0))="","",INDEX('Data Input'!$R$6:$R$143,MATCH($A34,'Data Input'!$S$6:$S$143,0))),""))</f>
        <v/>
      </c>
    </row>
    <row r="35" customFormat="false" ht="15" hidden="false" customHeight="true" outlineLevel="0" collapsed="false">
      <c r="A35" s="25" t="n">
        <f aca="false">IF(30&lt;=$B$3,30,"")</f>
        <v>30</v>
      </c>
      <c r="B35" s="26" t="str">
        <f aca="false">IF($A35="","",INDEX('Data Input'!$C$6:$C$143,MATCH($A35,'Data Input'!$S$6:$S$143,0)))</f>
        <v>Wednesday</v>
      </c>
      <c r="C35" s="27" t="n">
        <f aca="false">IF($A35="","",INDEX('Data Input'!$D$6:$D$143,MATCH($A35,'Data Input'!$S$6:$S$143,0)))</f>
        <v>0.729166666666667</v>
      </c>
      <c r="D35" s="28" t="n">
        <f aca="false">IF($A35="","",INDEX('Data Input'!$L$6:$L$143,MATCH($A35,'Data Input'!$S$6:$S$143,0)))</f>
        <v>7.87566371681416</v>
      </c>
      <c r="E35" s="26" t="str">
        <f aca="false">IF($A35="","",IF(D35&gt;5,"Severe",IF(D35&gt;3,"Moderate","Minor")))</f>
        <v>Severe</v>
      </c>
      <c r="F35" s="26" t="n">
        <f aca="false">IF($A35="","",INDEX('Data Input'!$F$6:$F$143,MATCH($A35,'Data Input'!$S$6:$S$143,0)))</f>
        <v>204</v>
      </c>
      <c r="G35" s="26" t="n">
        <f aca="false">IF($A35="","",INDEX('Data Input'!$H$6:$H$143,MATCH($A35,'Data Input'!$S$6:$S$143,0)))</f>
        <v>91</v>
      </c>
      <c r="H35" s="29" t="n">
        <f aca="false">IF($A35="","",INDEX('Data Input'!$I$6:$I$143,MATCH($A35,'Data Input'!$S$6:$S$143,0)))</f>
        <v>0.446078431372549</v>
      </c>
      <c r="I35" s="30" t="n">
        <f aca="false">IF($A35="","",INDEX('Data Input'!$M$6:$M$143,MATCH($A35,'Data Input'!$S$6:$S$143,0)))</f>
        <v>440.894736842105</v>
      </c>
      <c r="J35" s="26" t="str">
        <f aca="false">IF($A35="","",IFERROR(IF(INDEX('Data Input'!$Q$6:$Q$143,MATCH($A35,'Data Input'!$S$6:$S$143,0))="","",INDEX('Data Input'!$Q$6:$Q$143,MATCH($A35,'Data Input'!$S$6:$S$143,0))),""))</f>
        <v/>
      </c>
      <c r="K35" s="26" t="str">
        <f aca="false">IF($A35="","",IFERROR(IF(INDEX('Data Input'!$R$6:$R$143,MATCH($A35,'Data Input'!$S$6:$S$143,0))="","",INDEX('Data Input'!$R$6:$R$143,MATCH($A35,'Data Input'!$S$6:$S$143,0))),""))</f>
        <v/>
      </c>
    </row>
    <row r="36" customFormat="false" ht="15" hidden="false" customHeight="true" outlineLevel="0" collapsed="false">
      <c r="A36" s="25" t="n">
        <f aca="false">IF(31&lt;=$B$3,31,"")</f>
        <v>31</v>
      </c>
      <c r="B36" s="26" t="str">
        <f aca="false">IF($A36="","",INDEX('Data Input'!$C$6:$C$143,MATCH($A36,'Data Input'!$S$6:$S$143,0)))</f>
        <v>Wednesday</v>
      </c>
      <c r="C36" s="27" t="n">
        <f aca="false">IF($A36="","",INDEX('Data Input'!$D$6:$D$143,MATCH($A36,'Data Input'!$S$6:$S$143,0)))</f>
        <v>0.75</v>
      </c>
      <c r="D36" s="28" t="n">
        <f aca="false">IF($A36="","",INDEX('Data Input'!$L$6:$L$143,MATCH($A36,'Data Input'!$S$6:$S$143,0)))</f>
        <v>11.2543715846995</v>
      </c>
      <c r="E36" s="26" t="str">
        <f aca="false">IF($A36="","",IF(D36&gt;5,"Severe",IF(D36&gt;3,"Moderate","Minor")))</f>
        <v>Severe</v>
      </c>
      <c r="F36" s="26" t="n">
        <f aca="false">IF($A36="","",INDEX('Data Input'!$F$6:$F$143,MATCH($A36,'Data Input'!$S$6:$S$143,0)))</f>
        <v>205</v>
      </c>
      <c r="G36" s="26" t="n">
        <f aca="false">IF($A36="","",INDEX('Data Input'!$H$6:$H$143,MATCH($A36,'Data Input'!$S$6:$S$143,0)))</f>
        <v>83</v>
      </c>
      <c r="H36" s="29" t="n">
        <f aca="false">IF($A36="","",INDEX('Data Input'!$I$6:$I$143,MATCH($A36,'Data Input'!$S$6:$S$143,0)))</f>
        <v>0.404878048780488</v>
      </c>
      <c r="I36" s="30" t="n">
        <f aca="false">IF($A36="","",INDEX('Data Input'!$M$6:$M$143,MATCH($A36,'Data Input'!$S$6:$S$143,0)))</f>
        <v>483.2265625</v>
      </c>
      <c r="J36" s="26" t="str">
        <f aca="false">IF($A36="","",IFERROR(IF(INDEX('Data Input'!$Q$6:$Q$143,MATCH($A36,'Data Input'!$S$6:$S$143,0))="","",INDEX('Data Input'!$Q$6:$Q$143,MATCH($A36,'Data Input'!$S$6:$S$143,0))),""))</f>
        <v/>
      </c>
      <c r="K36" s="26" t="str">
        <f aca="false">IF($A36="","",IFERROR(IF(INDEX('Data Input'!$R$6:$R$143,MATCH($A36,'Data Input'!$S$6:$S$143,0))="","",INDEX('Data Input'!$R$6:$R$143,MATCH($A36,'Data Input'!$S$6:$S$143,0))),""))</f>
        <v/>
      </c>
    </row>
    <row r="37" customFormat="false" ht="15" hidden="false" customHeight="true" outlineLevel="0" collapsed="false">
      <c r="A37" s="25" t="n">
        <f aca="false">IF(32&lt;=$B$3,32,"")</f>
        <v>32</v>
      </c>
      <c r="B37" s="26" t="str">
        <f aca="false">IF($A37="","",INDEX('Data Input'!$C$6:$C$143,MATCH($A37,'Data Input'!$S$6:$S$143,0)))</f>
        <v>Wednesday</v>
      </c>
      <c r="C37" s="27" t="n">
        <f aca="false">IF($A37="","",INDEX('Data Input'!$D$6:$D$143,MATCH($A37,'Data Input'!$S$6:$S$143,0)))</f>
        <v>0.770833333333333</v>
      </c>
      <c r="D37" s="28" t="n">
        <f aca="false">IF($A37="","",INDEX('Data Input'!$L$6:$L$143,MATCH($A37,'Data Input'!$S$6:$S$143,0)))</f>
        <v>8.45535168195719</v>
      </c>
      <c r="E37" s="26" t="str">
        <f aca="false">IF($A37="","",IF(D37&gt;5,"Severe",IF(D37&gt;3,"Moderate","Minor")))</f>
        <v>Severe</v>
      </c>
      <c r="F37" s="26" t="n">
        <f aca="false">IF($A37="","",INDEX('Data Input'!$F$6:$F$143,MATCH($A37,'Data Input'!$S$6:$S$143,0)))</f>
        <v>167</v>
      </c>
      <c r="G37" s="26" t="n">
        <f aca="false">IF($A37="","",INDEX('Data Input'!$H$6:$H$143,MATCH($A37,'Data Input'!$S$6:$S$143,0)))</f>
        <v>58</v>
      </c>
      <c r="H37" s="29" t="n">
        <f aca="false">IF($A37="","",INDEX('Data Input'!$I$6:$I$143,MATCH($A37,'Data Input'!$S$6:$S$143,0)))</f>
        <v>0.347305389221557</v>
      </c>
      <c r="I37" s="30" t="n">
        <f aca="false">IF($A37="","",INDEX('Data Input'!$M$6:$M$143,MATCH($A37,'Data Input'!$S$6:$S$143,0)))</f>
        <v>470.752212389381</v>
      </c>
      <c r="J37" s="26" t="str">
        <f aca="false">IF($A37="","",IFERROR(IF(INDEX('Data Input'!$Q$6:$Q$143,MATCH($A37,'Data Input'!$S$6:$S$143,0))="","",INDEX('Data Input'!$Q$6:$Q$143,MATCH($A37,'Data Input'!$S$6:$S$143,0))),""))</f>
        <v/>
      </c>
      <c r="K37" s="26" t="str">
        <f aca="false">IF($A37="","",IFERROR(IF(INDEX('Data Input'!$R$6:$R$143,MATCH($A37,'Data Input'!$S$6:$S$143,0))="","",INDEX('Data Input'!$R$6:$R$143,MATCH($A37,'Data Input'!$S$6:$S$143,0))),""))</f>
        <v/>
      </c>
    </row>
    <row r="38" customFormat="false" ht="15" hidden="false" customHeight="true" outlineLevel="0" collapsed="false">
      <c r="A38" s="25" t="n">
        <f aca="false">IF(33&lt;=$B$3,33,"")</f>
        <v>33</v>
      </c>
      <c r="B38" s="26" t="str">
        <f aca="false">IF($A38="","",INDEX('Data Input'!$C$6:$C$143,MATCH($A38,'Data Input'!$S$6:$S$143,0)))</f>
        <v>Wednesday</v>
      </c>
      <c r="C38" s="27" t="n">
        <f aca="false">IF($A38="","",INDEX('Data Input'!$D$6:$D$143,MATCH($A38,'Data Input'!$S$6:$S$143,0)))</f>
        <v>0.791666666666667</v>
      </c>
      <c r="D38" s="28" t="n">
        <f aca="false">IF($A38="","",INDEX('Data Input'!$L$6:$L$143,MATCH($A38,'Data Input'!$S$6:$S$143,0)))</f>
        <v>12.5848484848485</v>
      </c>
      <c r="E38" s="26" t="str">
        <f aca="false">IF($A38="","",IF(D38&gt;5,"Severe",IF(D38&gt;3,"Moderate","Minor")))</f>
        <v>Severe</v>
      </c>
      <c r="F38" s="26" t="n">
        <f aca="false">IF($A38="","",INDEX('Data Input'!$F$6:$F$143,MATCH($A38,'Data Input'!$S$6:$S$143,0)))</f>
        <v>51</v>
      </c>
      <c r="G38" s="26" t="n">
        <f aca="false">IF($A38="","",INDEX('Data Input'!$H$6:$H$143,MATCH($A38,'Data Input'!$S$6:$S$143,0)))</f>
        <v>7</v>
      </c>
      <c r="H38" s="29" t="n">
        <f aca="false">IF($A38="","",INDEX('Data Input'!$I$6:$I$143,MATCH($A38,'Data Input'!$S$6:$S$143,0)))</f>
        <v>0.137254901960784</v>
      </c>
      <c r="I38" s="30" t="n">
        <f aca="false">IF($A38="","",INDEX('Data Input'!$M$6:$M$143,MATCH($A38,'Data Input'!$S$6:$S$143,0)))</f>
        <v>703.977777777778</v>
      </c>
      <c r="J38" s="26" t="str">
        <f aca="false">IF($A38="","",IFERROR(IF(INDEX('Data Input'!$Q$6:$Q$143,MATCH($A38,'Data Input'!$S$6:$S$143,0))="","",INDEX('Data Input'!$Q$6:$Q$143,MATCH($A38,'Data Input'!$S$6:$S$143,0))),""))</f>
        <v/>
      </c>
      <c r="K38" s="26" t="str">
        <f aca="false">IF($A38="","",IFERROR(IF(INDEX('Data Input'!$R$6:$R$143,MATCH($A38,'Data Input'!$S$6:$S$143,0))="","",INDEX('Data Input'!$R$6:$R$143,MATCH($A38,'Data Input'!$S$6:$S$143,0))),""))</f>
        <v/>
      </c>
    </row>
    <row r="39" customFormat="false" ht="15" hidden="false" customHeight="true" outlineLevel="0" collapsed="false">
      <c r="A39" s="25" t="n">
        <f aca="false">IF(34&lt;=$B$3,34,"")</f>
        <v>34</v>
      </c>
      <c r="B39" s="26" t="str">
        <f aca="false">IF($A39="","",INDEX('Data Input'!$C$6:$C$143,MATCH($A39,'Data Input'!$S$6:$S$143,0)))</f>
        <v>Wednesday</v>
      </c>
      <c r="C39" s="27" t="n">
        <f aca="false">IF($A39="","",INDEX('Data Input'!$D$6:$D$143,MATCH($A39,'Data Input'!$S$6:$S$143,0)))</f>
        <v>0.8125</v>
      </c>
      <c r="D39" s="28" t="n">
        <f aca="false">IF($A39="","",INDEX('Data Input'!$L$6:$L$143,MATCH($A39,'Data Input'!$S$6:$S$143,0)))</f>
        <v>17.8333333333333</v>
      </c>
      <c r="E39" s="26" t="str">
        <f aca="false">IF($A39="","",IF(D39&gt;5,"Severe",IF(D39&gt;3,"Moderate","Minor")))</f>
        <v>Severe</v>
      </c>
      <c r="F39" s="26" t="n">
        <f aca="false">IF($A39="","",INDEX('Data Input'!$F$6:$F$143,MATCH($A39,'Data Input'!$S$6:$S$143,0)))</f>
        <v>2</v>
      </c>
      <c r="G39" s="26" t="n">
        <f aca="false">IF($A39="","",INDEX('Data Input'!$H$6:$H$143,MATCH($A39,'Data Input'!$S$6:$S$143,0)))</f>
        <v>0</v>
      </c>
      <c r="H39" s="29" t="n">
        <f aca="false">IF($A39="","",INDEX('Data Input'!$I$6:$I$143,MATCH($A39,'Data Input'!$S$6:$S$143,0)))</f>
        <v>0</v>
      </c>
      <c r="I39" s="30" t="n">
        <f aca="false">IF($A39="","",INDEX('Data Input'!$M$6:$M$143,MATCH($A39,'Data Input'!$S$6:$S$143,0)))</f>
        <v>581.5</v>
      </c>
      <c r="J39" s="26" t="str">
        <f aca="false">IF($A39="","",IFERROR(IF(INDEX('Data Input'!$Q$6:$Q$143,MATCH($A39,'Data Input'!$S$6:$S$143,0))="","",INDEX('Data Input'!$Q$6:$Q$143,MATCH($A39,'Data Input'!$S$6:$S$143,0))),""))</f>
        <v/>
      </c>
      <c r="K39" s="26" t="str">
        <f aca="false">IF($A39="","",IFERROR(IF(INDEX('Data Input'!$R$6:$R$143,MATCH($A39,'Data Input'!$S$6:$S$143,0))="","",INDEX('Data Input'!$R$6:$R$143,MATCH($A39,'Data Input'!$S$6:$S$143,0))),""))</f>
        <v/>
      </c>
    </row>
    <row r="40" customFormat="false" ht="15" hidden="false" customHeight="true" outlineLevel="0" collapsed="false">
      <c r="A40" s="25" t="n">
        <f aca="false">IF(35&lt;=$B$3,35,"")</f>
        <v>35</v>
      </c>
      <c r="B40" s="26" t="str">
        <f aca="false">IF($A40="","",INDEX('Data Input'!$C$6:$C$143,MATCH($A40,'Data Input'!$S$6:$S$143,0)))</f>
        <v>Thursday</v>
      </c>
      <c r="C40" s="27" t="n">
        <f aca="false">IF($A40="","",INDEX('Data Input'!$D$6:$D$143,MATCH($A40,'Data Input'!$S$6:$S$143,0)))</f>
        <v>0.354166666666667</v>
      </c>
      <c r="D40" s="28" t="n">
        <f aca="false">IF($A40="","",INDEX('Data Input'!$L$6:$L$143,MATCH($A40,'Data Input'!$S$6:$S$143,0)))</f>
        <v>2.97171717171717</v>
      </c>
      <c r="E40" s="26" t="str">
        <f aca="false">IF($A40="","",IF(D40&gt;5,"Severe",IF(D40&gt;3,"Moderate","Minor")))</f>
        <v>Minor</v>
      </c>
      <c r="F40" s="26" t="n">
        <f aca="false">IF($A40="","",INDEX('Data Input'!$F$6:$F$143,MATCH($A40,'Data Input'!$S$6:$S$143,0)))</f>
        <v>117</v>
      </c>
      <c r="G40" s="26" t="n">
        <f aca="false">IF($A40="","",INDEX('Data Input'!$H$6:$H$143,MATCH($A40,'Data Input'!$S$6:$S$143,0)))</f>
        <v>18</v>
      </c>
      <c r="H40" s="29" t="n">
        <f aca="false">IF($A40="","",INDEX('Data Input'!$I$6:$I$143,MATCH($A40,'Data Input'!$S$6:$S$143,0)))</f>
        <v>0.153846153846154</v>
      </c>
      <c r="I40" s="30" t="n">
        <f aca="false">IF($A40="","",INDEX('Data Input'!$M$6:$M$143,MATCH($A40,'Data Input'!$S$6:$S$143,0)))</f>
        <v>462.43</v>
      </c>
      <c r="J40" s="26" t="str">
        <f aca="false">IF($A40="","",IFERROR(IF(INDEX('Data Input'!$Q$6:$Q$143,MATCH($A40,'Data Input'!$S$6:$S$143,0))="","",INDEX('Data Input'!$Q$6:$Q$143,MATCH($A40,'Data Input'!$S$6:$S$143,0))),""))</f>
        <v/>
      </c>
      <c r="K40" s="26" t="str">
        <f aca="false">IF($A40="","",IFERROR(IF(INDEX('Data Input'!$R$6:$R$143,MATCH($A40,'Data Input'!$S$6:$S$143,0))="","",INDEX('Data Input'!$R$6:$R$143,MATCH($A40,'Data Input'!$S$6:$S$143,0))),""))</f>
        <v/>
      </c>
    </row>
    <row r="41" customFormat="false" ht="15" hidden="false" customHeight="true" outlineLevel="0" collapsed="false">
      <c r="A41" s="25" t="n">
        <f aca="false">IF(36&lt;=$B$3,36,"")</f>
        <v>36</v>
      </c>
      <c r="B41" s="26" t="str">
        <f aca="false">IF($A41="","",INDEX('Data Input'!$C$6:$C$143,MATCH($A41,'Data Input'!$S$6:$S$143,0)))</f>
        <v>Thursday</v>
      </c>
      <c r="C41" s="27" t="n">
        <f aca="false">IF($A41="","",INDEX('Data Input'!$D$6:$D$143,MATCH($A41,'Data Input'!$S$6:$S$143,0)))</f>
        <v>0.375</v>
      </c>
      <c r="D41" s="28" t="n">
        <f aca="false">IF($A41="","",INDEX('Data Input'!$L$6:$L$143,MATCH($A41,'Data Input'!$S$6:$S$143,0)))</f>
        <v>5.91925064599483</v>
      </c>
      <c r="E41" s="26" t="str">
        <f aca="false">IF($A41="","",IF(D41&gt;5,"Severe",IF(D41&gt;3,"Moderate","Minor")))</f>
        <v>Severe</v>
      </c>
      <c r="F41" s="26" t="n">
        <f aca="false">IF($A41="","",INDEX('Data Input'!$F$6:$F$143,MATCH($A41,'Data Input'!$S$6:$S$143,0)))</f>
        <v>174</v>
      </c>
      <c r="G41" s="26" t="n">
        <f aca="false">IF($A41="","",INDEX('Data Input'!$H$6:$H$143,MATCH($A41,'Data Input'!$S$6:$S$143,0)))</f>
        <v>45</v>
      </c>
      <c r="H41" s="29" t="n">
        <f aca="false">IF($A41="","",INDEX('Data Input'!$I$6:$I$143,MATCH($A41,'Data Input'!$S$6:$S$143,0)))</f>
        <v>0.258620689655172</v>
      </c>
      <c r="I41" s="30" t="n">
        <f aca="false">IF($A41="","",INDEX('Data Input'!$M$6:$M$143,MATCH($A41,'Data Input'!$S$6:$S$143,0)))</f>
        <v>489.537313432836</v>
      </c>
      <c r="J41" s="26" t="str">
        <f aca="false">IF($A41="","",IFERROR(IF(INDEX('Data Input'!$Q$6:$Q$143,MATCH($A41,'Data Input'!$S$6:$S$143,0))="","",INDEX('Data Input'!$Q$6:$Q$143,MATCH($A41,'Data Input'!$S$6:$S$143,0))),""))</f>
        <v/>
      </c>
      <c r="K41" s="26" t="str">
        <f aca="false">IF($A41="","",IFERROR(IF(INDEX('Data Input'!$R$6:$R$143,MATCH($A41,'Data Input'!$S$6:$S$143,0))="","",INDEX('Data Input'!$R$6:$R$143,MATCH($A41,'Data Input'!$S$6:$S$143,0))),""))</f>
        <v/>
      </c>
    </row>
    <row r="42" customFormat="false" ht="15" hidden="false" customHeight="true" outlineLevel="0" collapsed="false">
      <c r="A42" s="25" t="n">
        <f aca="false">IF(37&lt;=$B$3,37,"")</f>
        <v>37</v>
      </c>
      <c r="B42" s="26" t="str">
        <f aca="false">IF($A42="","",INDEX('Data Input'!$C$6:$C$143,MATCH($A42,'Data Input'!$S$6:$S$143,0)))</f>
        <v>Thursday</v>
      </c>
      <c r="C42" s="27" t="n">
        <f aca="false">IF($A42="","",INDEX('Data Input'!$D$6:$D$143,MATCH($A42,'Data Input'!$S$6:$S$143,0)))</f>
        <v>0.395833333333333</v>
      </c>
      <c r="D42" s="28" t="n">
        <f aca="false">IF($A42="","",INDEX('Data Input'!$L$6:$L$143,MATCH($A42,'Data Input'!$S$6:$S$143,0)))</f>
        <v>5.19883040935673</v>
      </c>
      <c r="E42" s="26" t="str">
        <f aca="false">IF($A42="","",IF(D42&gt;5,"Severe",IF(D42&gt;3,"Moderate","Minor")))</f>
        <v>Severe</v>
      </c>
      <c r="F42" s="26" t="n">
        <f aca="false">IF($A42="","",INDEX('Data Input'!$F$6:$F$143,MATCH($A42,'Data Input'!$S$6:$S$143,0)))</f>
        <v>174</v>
      </c>
      <c r="G42" s="26" t="n">
        <f aca="false">IF($A42="","",INDEX('Data Input'!$H$6:$H$143,MATCH($A42,'Data Input'!$S$6:$S$143,0)))</f>
        <v>60</v>
      </c>
      <c r="H42" s="29" t="n">
        <f aca="false">IF($A42="","",INDEX('Data Input'!$I$6:$I$143,MATCH($A42,'Data Input'!$S$6:$S$143,0)))</f>
        <v>0.344827586206897</v>
      </c>
      <c r="I42" s="30" t="n">
        <f aca="false">IF($A42="","",INDEX('Data Input'!$M$6:$M$143,MATCH($A42,'Data Input'!$S$6:$S$143,0)))</f>
        <v>456.307692307692</v>
      </c>
      <c r="J42" s="26" t="str">
        <f aca="false">IF($A42="","",IFERROR(IF(INDEX('Data Input'!$Q$6:$Q$143,MATCH($A42,'Data Input'!$S$6:$S$143,0))="","",INDEX('Data Input'!$Q$6:$Q$143,MATCH($A42,'Data Input'!$S$6:$S$143,0))),""))</f>
        <v/>
      </c>
      <c r="K42" s="26" t="str">
        <f aca="false">IF($A42="","",IFERROR(IF(INDEX('Data Input'!$R$6:$R$143,MATCH($A42,'Data Input'!$S$6:$S$143,0))="","",INDEX('Data Input'!$R$6:$R$143,MATCH($A42,'Data Input'!$S$6:$S$143,0))),""))</f>
        <v/>
      </c>
    </row>
    <row r="43" customFormat="false" ht="15" hidden="false" customHeight="true" outlineLevel="0" collapsed="false">
      <c r="A43" s="25" t="n">
        <f aca="false">IF(38&lt;=$B$3,38,"")</f>
        <v>38</v>
      </c>
      <c r="B43" s="26" t="str">
        <f aca="false">IF($A43="","",INDEX('Data Input'!$C$6:$C$143,MATCH($A43,'Data Input'!$S$6:$S$143,0)))</f>
        <v>Thursday</v>
      </c>
      <c r="C43" s="27" t="n">
        <f aca="false">IF($A43="","",INDEX('Data Input'!$D$6:$D$143,MATCH($A43,'Data Input'!$S$6:$S$143,0)))</f>
        <v>0.416666666666667</v>
      </c>
      <c r="D43" s="28" t="n">
        <f aca="false">IF($A43="","",INDEX('Data Input'!$L$6:$L$143,MATCH($A43,'Data Input'!$S$6:$S$143,0)))</f>
        <v>9.21548387096774</v>
      </c>
      <c r="E43" s="26" t="str">
        <f aca="false">IF($A43="","",IF(D43&gt;5,"Severe",IF(D43&gt;3,"Moderate","Minor")))</f>
        <v>Severe</v>
      </c>
      <c r="F43" s="26" t="n">
        <f aca="false">IF($A43="","",INDEX('Data Input'!$F$6:$F$143,MATCH($A43,'Data Input'!$S$6:$S$143,0)))</f>
        <v>255</v>
      </c>
      <c r="G43" s="26" t="n">
        <f aca="false">IF($A43="","",INDEX('Data Input'!$H$6:$H$143,MATCH($A43,'Data Input'!$S$6:$S$143,0)))</f>
        <v>100</v>
      </c>
      <c r="H43" s="29" t="n">
        <f aca="false">IF($A43="","",INDEX('Data Input'!$I$6:$I$143,MATCH($A43,'Data Input'!$S$6:$S$143,0)))</f>
        <v>0.392156862745098</v>
      </c>
      <c r="I43" s="30" t="n">
        <f aca="false">IF($A43="","",INDEX('Data Input'!$M$6:$M$143,MATCH($A43,'Data Input'!$S$6:$S$143,0)))</f>
        <v>421.96835443038</v>
      </c>
      <c r="J43" s="26" t="str">
        <f aca="false">IF($A43="","",IFERROR(IF(INDEX('Data Input'!$Q$6:$Q$143,MATCH($A43,'Data Input'!$S$6:$S$143,0))="","",INDEX('Data Input'!$Q$6:$Q$143,MATCH($A43,'Data Input'!$S$6:$S$143,0))),""))</f>
        <v/>
      </c>
      <c r="K43" s="26" t="str">
        <f aca="false">IF($A43="","",IFERROR(IF(INDEX('Data Input'!$R$6:$R$143,MATCH($A43,'Data Input'!$S$6:$S$143,0))="","",INDEX('Data Input'!$R$6:$R$143,MATCH($A43,'Data Input'!$S$6:$S$143,0))),""))</f>
        <v/>
      </c>
    </row>
    <row r="44" customFormat="false" ht="15" hidden="false" customHeight="true" outlineLevel="0" collapsed="false">
      <c r="A44" s="25" t="n">
        <f aca="false">IF(39&lt;=$B$3,39,"")</f>
        <v>39</v>
      </c>
      <c r="B44" s="26" t="str">
        <f aca="false">IF($A44="","",INDEX('Data Input'!$C$6:$C$143,MATCH($A44,'Data Input'!$S$6:$S$143,0)))</f>
        <v>Thursday</v>
      </c>
      <c r="C44" s="27" t="n">
        <f aca="false">IF($A44="","",INDEX('Data Input'!$D$6:$D$143,MATCH($A44,'Data Input'!$S$6:$S$143,0)))</f>
        <v>0.4375</v>
      </c>
      <c r="D44" s="28" t="n">
        <f aca="false">IF($A44="","",INDEX('Data Input'!$L$6:$L$143,MATCH($A44,'Data Input'!$S$6:$S$143,0)))</f>
        <v>8.02693522906793</v>
      </c>
      <c r="E44" s="26" t="str">
        <f aca="false">IF($A44="","",IF(D44&gt;5,"Severe",IF(D44&gt;3,"Moderate","Minor")))</f>
        <v>Severe</v>
      </c>
      <c r="F44" s="26" t="n">
        <f aca="false">IF($A44="","",INDEX('Data Input'!$F$6:$F$143,MATCH($A44,'Data Input'!$S$6:$S$143,0)))</f>
        <v>271</v>
      </c>
      <c r="G44" s="26" t="n">
        <f aca="false">IF($A44="","",INDEX('Data Input'!$H$6:$H$143,MATCH($A44,'Data Input'!$S$6:$S$143,0)))</f>
        <v>60</v>
      </c>
      <c r="H44" s="29" t="n">
        <f aca="false">IF($A44="","",INDEX('Data Input'!$I$6:$I$143,MATCH($A44,'Data Input'!$S$6:$S$143,0)))</f>
        <v>0.22140221402214</v>
      </c>
      <c r="I44" s="30" t="n">
        <f aca="false">IF($A44="","",INDEX('Data Input'!$M$6:$M$143,MATCH($A44,'Data Input'!$S$6:$S$143,0)))</f>
        <v>433.51376146789</v>
      </c>
      <c r="J44" s="26" t="str">
        <f aca="false">IF($A44="","",IFERROR(IF(INDEX('Data Input'!$Q$6:$Q$143,MATCH($A44,'Data Input'!$S$6:$S$143,0))="","",INDEX('Data Input'!$Q$6:$Q$143,MATCH($A44,'Data Input'!$S$6:$S$143,0))),""))</f>
        <v/>
      </c>
      <c r="K44" s="26" t="str">
        <f aca="false">IF($A44="","",IFERROR(IF(INDEX('Data Input'!$R$6:$R$143,MATCH($A44,'Data Input'!$S$6:$S$143,0))="","",INDEX('Data Input'!$R$6:$R$143,MATCH($A44,'Data Input'!$S$6:$S$143,0))),""))</f>
        <v/>
      </c>
    </row>
    <row r="45" customFormat="false" ht="15" hidden="false" customHeight="true" outlineLevel="0" collapsed="false">
      <c r="A45" s="25" t="n">
        <f aca="false">IF(40&lt;=$B$3,40,"")</f>
        <v>40</v>
      </c>
      <c r="B45" s="26" t="str">
        <f aca="false">IF($A45="","",INDEX('Data Input'!$C$6:$C$143,MATCH($A45,'Data Input'!$S$6:$S$143,0)))</f>
        <v>Thursday</v>
      </c>
      <c r="C45" s="27" t="n">
        <f aca="false">IF($A45="","",INDEX('Data Input'!$D$6:$D$143,MATCH($A45,'Data Input'!$S$6:$S$143,0)))</f>
        <v>0.458333333333333</v>
      </c>
      <c r="D45" s="28" t="n">
        <f aca="false">IF($A45="","",INDEX('Data Input'!$L$6:$L$143,MATCH($A45,'Data Input'!$S$6:$S$143,0)))</f>
        <v>3.79622331691297</v>
      </c>
      <c r="E45" s="26" t="str">
        <f aca="false">IF($A45="","",IF(D45&gt;5,"Severe",IF(D45&gt;3,"Moderate","Minor")))</f>
        <v>Moderate</v>
      </c>
      <c r="F45" s="26" t="n">
        <f aca="false">IF($A45="","",INDEX('Data Input'!$F$6:$F$143,MATCH($A45,'Data Input'!$S$6:$S$143,0)))</f>
        <v>212</v>
      </c>
      <c r="G45" s="26" t="n">
        <f aca="false">IF($A45="","",INDEX('Data Input'!$H$6:$H$143,MATCH($A45,'Data Input'!$S$6:$S$143,0)))</f>
        <v>9</v>
      </c>
      <c r="H45" s="29" t="n">
        <f aca="false">IF($A45="","",INDEX('Data Input'!$I$6:$I$143,MATCH($A45,'Data Input'!$S$6:$S$143,0)))</f>
        <v>0.0424528301886792</v>
      </c>
      <c r="I45" s="30" t="n">
        <f aca="false">IF($A45="","",INDEX('Data Input'!$M$6:$M$143,MATCH($A45,'Data Input'!$S$6:$S$143,0)))</f>
        <v>467.535885167464</v>
      </c>
      <c r="J45" s="26" t="str">
        <f aca="false">IF($A45="","",IFERROR(IF(INDEX('Data Input'!$Q$6:$Q$143,MATCH($A45,'Data Input'!$S$6:$S$143,0))="","",INDEX('Data Input'!$Q$6:$Q$143,MATCH($A45,'Data Input'!$S$6:$S$143,0))),""))</f>
        <v/>
      </c>
      <c r="K45" s="26" t="str">
        <f aca="false">IF($A45="","",IFERROR(IF(INDEX('Data Input'!$R$6:$R$143,MATCH($A45,'Data Input'!$S$6:$S$143,0))="","",INDEX('Data Input'!$R$6:$R$143,MATCH($A45,'Data Input'!$S$6:$S$143,0))),""))</f>
        <v/>
      </c>
    </row>
    <row r="46" customFormat="false" ht="15" hidden="false" customHeight="true" outlineLevel="0" collapsed="false">
      <c r="A46" s="25" t="n">
        <f aca="false">IF(41&lt;=$B$3,41,"")</f>
        <v>41</v>
      </c>
      <c r="B46" s="26" t="str">
        <f aca="false">IF($A46="","",INDEX('Data Input'!$C$6:$C$143,MATCH($A46,'Data Input'!$S$6:$S$143,0)))</f>
        <v>Thursday</v>
      </c>
      <c r="C46" s="27" t="n">
        <f aca="false">IF($A46="","",INDEX('Data Input'!$D$6:$D$143,MATCH($A46,'Data Input'!$S$6:$S$143,0)))</f>
        <v>0.520833333333333</v>
      </c>
      <c r="D46" s="28" t="n">
        <f aca="false">IF($A46="","",INDEX('Data Input'!$L$6:$L$143,MATCH($A46,'Data Input'!$S$6:$S$143,0)))</f>
        <v>3.4228431372549</v>
      </c>
      <c r="E46" s="26" t="str">
        <f aca="false">IF($A46="","",IF(D46&gt;5,"Severe",IF(D46&gt;3,"Moderate","Minor")))</f>
        <v>Moderate</v>
      </c>
      <c r="F46" s="26" t="n">
        <f aca="false">IF($A46="","",INDEX('Data Input'!$F$6:$F$143,MATCH($A46,'Data Input'!$S$6:$S$143,0)))</f>
        <v>199</v>
      </c>
      <c r="G46" s="26" t="n">
        <f aca="false">IF($A46="","",INDEX('Data Input'!$H$6:$H$143,MATCH($A46,'Data Input'!$S$6:$S$143,0)))</f>
        <v>29</v>
      </c>
      <c r="H46" s="29" t="n">
        <f aca="false">IF($A46="","",INDEX('Data Input'!$I$6:$I$143,MATCH($A46,'Data Input'!$S$6:$S$143,0)))</f>
        <v>0.14572864321608</v>
      </c>
      <c r="I46" s="30" t="n">
        <f aca="false">IF($A46="","",INDEX('Data Input'!$M$6:$M$143,MATCH($A46,'Data Input'!$S$6:$S$143,0)))</f>
        <v>462.942196531792</v>
      </c>
      <c r="J46" s="26" t="str">
        <f aca="false">IF($A46="","",IFERROR(IF(INDEX('Data Input'!$Q$6:$Q$143,MATCH($A46,'Data Input'!$S$6:$S$143,0))="","",INDEX('Data Input'!$Q$6:$Q$143,MATCH($A46,'Data Input'!$S$6:$S$143,0))),""))</f>
        <v/>
      </c>
      <c r="K46" s="26" t="str">
        <f aca="false">IF($A46="","",IFERROR(IF(INDEX('Data Input'!$R$6:$R$143,MATCH($A46,'Data Input'!$S$6:$S$143,0))="","",INDEX('Data Input'!$R$6:$R$143,MATCH($A46,'Data Input'!$S$6:$S$143,0))),""))</f>
        <v/>
      </c>
    </row>
    <row r="47" customFormat="false" ht="15" hidden="false" customHeight="true" outlineLevel="0" collapsed="false">
      <c r="A47" s="25" t="n">
        <f aca="false">IF(42&lt;=$B$3,42,"")</f>
        <v>42</v>
      </c>
      <c r="B47" s="26" t="str">
        <f aca="false">IF($A47="","",INDEX('Data Input'!$C$6:$C$143,MATCH($A47,'Data Input'!$S$6:$S$143,0)))</f>
        <v>Thursday</v>
      </c>
      <c r="C47" s="27" t="n">
        <f aca="false">IF($A47="","",INDEX('Data Input'!$D$6:$D$143,MATCH($A47,'Data Input'!$S$6:$S$143,0)))</f>
        <v>0.541666666666667</v>
      </c>
      <c r="D47" s="28" t="n">
        <f aca="false">IF($A47="","",INDEX('Data Input'!$L$6:$L$143,MATCH($A47,'Data Input'!$S$6:$S$143,0)))</f>
        <v>4.62412280701754</v>
      </c>
      <c r="E47" s="26" t="str">
        <f aca="false">IF($A47="","",IF(D47&gt;5,"Severe",IF(D47&gt;3,"Moderate","Minor")))</f>
        <v>Moderate</v>
      </c>
      <c r="F47" s="26" t="n">
        <f aca="false">IF($A47="","",INDEX('Data Input'!$F$6:$F$143,MATCH($A47,'Data Input'!$S$6:$S$143,0)))</f>
        <v>183</v>
      </c>
      <c r="G47" s="26" t="n">
        <f aca="false">IF($A47="","",INDEX('Data Input'!$H$6:$H$143,MATCH($A47,'Data Input'!$S$6:$S$143,0)))</f>
        <v>31</v>
      </c>
      <c r="H47" s="29" t="n">
        <f aca="false">IF($A47="","",INDEX('Data Input'!$I$6:$I$143,MATCH($A47,'Data Input'!$S$6:$S$143,0)))</f>
        <v>0.169398907103825</v>
      </c>
      <c r="I47" s="30" t="n">
        <f aca="false">IF($A47="","",INDEX('Data Input'!$M$6:$M$143,MATCH($A47,'Data Input'!$S$6:$S$143,0)))</f>
        <v>490.556962025317</v>
      </c>
      <c r="J47" s="26" t="str">
        <f aca="false">IF($A47="","",IFERROR(IF(INDEX('Data Input'!$Q$6:$Q$143,MATCH($A47,'Data Input'!$S$6:$S$143,0))="","",INDEX('Data Input'!$Q$6:$Q$143,MATCH($A47,'Data Input'!$S$6:$S$143,0))),""))</f>
        <v/>
      </c>
      <c r="K47" s="26" t="str">
        <f aca="false">IF($A47="","",IFERROR(IF(INDEX('Data Input'!$R$6:$R$143,MATCH($A47,'Data Input'!$S$6:$S$143,0))="","",INDEX('Data Input'!$R$6:$R$143,MATCH($A47,'Data Input'!$S$6:$S$143,0))),""))</f>
        <v/>
      </c>
    </row>
    <row r="48" customFormat="false" ht="15" hidden="false" customHeight="true" outlineLevel="0" collapsed="false">
      <c r="A48" s="25" t="n">
        <f aca="false">IF(43&lt;=$B$3,43,"")</f>
        <v>43</v>
      </c>
      <c r="B48" s="26" t="str">
        <f aca="false">IF($A48="","",INDEX('Data Input'!$C$6:$C$143,MATCH($A48,'Data Input'!$S$6:$S$143,0)))</f>
        <v>Thursday</v>
      </c>
      <c r="C48" s="27" t="n">
        <f aca="false">IF($A48="","",INDEX('Data Input'!$D$6:$D$143,MATCH($A48,'Data Input'!$S$6:$S$143,0)))</f>
        <v>0.5625</v>
      </c>
      <c r="D48" s="28" t="n">
        <f aca="false">IF($A48="","",INDEX('Data Input'!$L$6:$L$143,MATCH($A48,'Data Input'!$S$6:$S$143,0)))</f>
        <v>2.27269681742044</v>
      </c>
      <c r="E48" s="26" t="str">
        <f aca="false">IF($A48="","",IF(D48&gt;5,"Severe",IF(D48&gt;3,"Moderate","Minor")))</f>
        <v>Minor</v>
      </c>
      <c r="F48" s="26" t="n">
        <f aca="false">IF($A48="","",INDEX('Data Input'!$F$6:$F$143,MATCH($A48,'Data Input'!$S$6:$S$143,0)))</f>
        <v>210</v>
      </c>
      <c r="G48" s="26" t="n">
        <f aca="false">IF($A48="","",INDEX('Data Input'!$H$6:$H$143,MATCH($A48,'Data Input'!$S$6:$S$143,0)))</f>
        <v>11</v>
      </c>
      <c r="H48" s="29" t="n">
        <f aca="false">IF($A48="","",INDEX('Data Input'!$I$6:$I$143,MATCH($A48,'Data Input'!$S$6:$S$143,0)))</f>
        <v>0.0523809523809524</v>
      </c>
      <c r="I48" s="30" t="n">
        <f aca="false">IF($A48="","",INDEX('Data Input'!$M$6:$M$143,MATCH($A48,'Data Input'!$S$6:$S$143,0)))</f>
        <v>453.950738916256</v>
      </c>
      <c r="J48" s="26" t="str">
        <f aca="false">IF($A48="","",IFERROR(IF(INDEX('Data Input'!$Q$6:$Q$143,MATCH($A48,'Data Input'!$S$6:$S$143,0))="","",INDEX('Data Input'!$Q$6:$Q$143,MATCH($A48,'Data Input'!$S$6:$S$143,0))),""))</f>
        <v/>
      </c>
      <c r="K48" s="26" t="str">
        <f aca="false">IF($A48="","",IFERROR(IF(INDEX('Data Input'!$R$6:$R$143,MATCH($A48,'Data Input'!$S$6:$S$143,0))="","",INDEX('Data Input'!$R$6:$R$143,MATCH($A48,'Data Input'!$S$6:$S$143,0))),""))</f>
        <v/>
      </c>
    </row>
    <row r="49" customFormat="false" ht="15" hidden="false" customHeight="true" outlineLevel="0" collapsed="false">
      <c r="A49" s="25" t="n">
        <f aca="false">IF(44&lt;=$B$3,44,"")</f>
        <v>44</v>
      </c>
      <c r="B49" s="26" t="str">
        <f aca="false">IF($A49="","",INDEX('Data Input'!$C$6:$C$143,MATCH($A49,'Data Input'!$S$6:$S$143,0)))</f>
        <v>Thursday</v>
      </c>
      <c r="C49" s="27" t="n">
        <f aca="false">IF($A49="","",INDEX('Data Input'!$D$6:$D$143,MATCH($A49,'Data Input'!$S$6:$S$143,0)))</f>
        <v>0.729166666666667</v>
      </c>
      <c r="D49" s="28" t="n">
        <f aca="false">IF($A49="","",INDEX('Data Input'!$L$6:$L$143,MATCH($A49,'Data Input'!$S$6:$S$143,0)))</f>
        <v>5.96603174603175</v>
      </c>
      <c r="E49" s="26" t="str">
        <f aca="false">IF($A49="","",IF(D49&gt;5,"Severe",IF(D49&gt;3,"Moderate","Minor")))</f>
        <v>Severe</v>
      </c>
      <c r="F49" s="26" t="n">
        <f aca="false">IF($A49="","",INDEX('Data Input'!$F$6:$F$143,MATCH($A49,'Data Input'!$S$6:$S$143,0)))</f>
        <v>142</v>
      </c>
      <c r="G49" s="26" t="n">
        <f aca="false">IF($A49="","",INDEX('Data Input'!$H$6:$H$143,MATCH($A49,'Data Input'!$S$6:$S$143,0)))</f>
        <v>37</v>
      </c>
      <c r="H49" s="29" t="n">
        <f aca="false">IF($A49="","",INDEX('Data Input'!$I$6:$I$143,MATCH($A49,'Data Input'!$S$6:$S$143,0)))</f>
        <v>0.26056338028169</v>
      </c>
      <c r="I49" s="30" t="n">
        <f aca="false">IF($A49="","",INDEX('Data Input'!$M$6:$M$143,MATCH($A49,'Data Input'!$S$6:$S$143,0)))</f>
        <v>537.390909090909</v>
      </c>
      <c r="J49" s="26" t="str">
        <f aca="false">IF($A49="","",IFERROR(IF(INDEX('Data Input'!$Q$6:$Q$143,MATCH($A49,'Data Input'!$S$6:$S$143,0))="","",INDEX('Data Input'!$Q$6:$Q$143,MATCH($A49,'Data Input'!$S$6:$S$143,0))),""))</f>
        <v/>
      </c>
      <c r="K49" s="26" t="str">
        <f aca="false">IF($A49="","",IFERROR(IF(INDEX('Data Input'!$R$6:$R$143,MATCH($A49,'Data Input'!$S$6:$S$143,0))="","",INDEX('Data Input'!$R$6:$R$143,MATCH($A49,'Data Input'!$S$6:$S$143,0))),""))</f>
        <v/>
      </c>
    </row>
    <row r="50" customFormat="false" ht="15" hidden="false" customHeight="true" outlineLevel="0" collapsed="false">
      <c r="A50" s="25" t="n">
        <f aca="false">IF(45&lt;=$B$3,45,"")</f>
        <v>45</v>
      </c>
      <c r="B50" s="26" t="str">
        <f aca="false">IF($A50="","",INDEX('Data Input'!$C$6:$C$143,MATCH($A50,'Data Input'!$S$6:$S$143,0)))</f>
        <v>Thursday</v>
      </c>
      <c r="C50" s="27" t="n">
        <f aca="false">IF($A50="","",INDEX('Data Input'!$D$6:$D$143,MATCH($A50,'Data Input'!$S$6:$S$143,0)))</f>
        <v>0.75</v>
      </c>
      <c r="D50" s="28" t="n">
        <f aca="false">IF($A50="","",INDEX('Data Input'!$L$6:$L$143,MATCH($A50,'Data Input'!$S$6:$S$143,0)))</f>
        <v>5.74887218045113</v>
      </c>
      <c r="E50" s="26" t="str">
        <f aca="false">IF($A50="","",IF(D50&gt;5,"Severe",IF(D50&gt;3,"Moderate","Minor")))</f>
        <v>Severe</v>
      </c>
      <c r="F50" s="26" t="n">
        <f aca="false">IF($A50="","",INDEX('Data Input'!$F$6:$F$143,MATCH($A50,'Data Input'!$S$6:$S$143,0)))</f>
        <v>155</v>
      </c>
      <c r="G50" s="26" t="n">
        <f aca="false">IF($A50="","",INDEX('Data Input'!$H$6:$H$143,MATCH($A50,'Data Input'!$S$6:$S$143,0)))</f>
        <v>22</v>
      </c>
      <c r="H50" s="29" t="n">
        <f aca="false">IF($A50="","",INDEX('Data Input'!$I$6:$I$143,MATCH($A50,'Data Input'!$S$6:$S$143,0)))</f>
        <v>0.141935483870968</v>
      </c>
      <c r="I50" s="30" t="n">
        <f aca="false">IF($A50="","",INDEX('Data Input'!$M$6:$M$143,MATCH($A50,'Data Input'!$S$6:$S$143,0)))</f>
        <v>433.838235294118</v>
      </c>
      <c r="J50" s="26" t="str">
        <f aca="false">IF($A50="","",IFERROR(IF(INDEX('Data Input'!$Q$6:$Q$143,MATCH($A50,'Data Input'!$S$6:$S$143,0))="","",INDEX('Data Input'!$Q$6:$Q$143,MATCH($A50,'Data Input'!$S$6:$S$143,0))),""))</f>
        <v/>
      </c>
      <c r="K50" s="26" t="str">
        <f aca="false">IF($A50="","",IFERROR(IF(INDEX('Data Input'!$R$6:$R$143,MATCH($A50,'Data Input'!$S$6:$S$143,0))="","",INDEX('Data Input'!$R$6:$R$143,MATCH($A50,'Data Input'!$S$6:$S$143,0))),""))</f>
        <v/>
      </c>
    </row>
    <row r="51" customFormat="false" ht="15" hidden="false" customHeight="true" outlineLevel="0" collapsed="false">
      <c r="A51" s="25" t="n">
        <f aca="false">IF(46&lt;=$B$3,46,"")</f>
        <v>46</v>
      </c>
      <c r="B51" s="26" t="str">
        <f aca="false">IF($A51="","",INDEX('Data Input'!$C$6:$C$143,MATCH($A51,'Data Input'!$S$6:$S$143,0)))</f>
        <v>Friday</v>
      </c>
      <c r="C51" s="27" t="n">
        <f aca="false">IF($A51="","",INDEX('Data Input'!$D$6:$D$143,MATCH($A51,'Data Input'!$S$6:$S$143,0)))</f>
        <v>0.416666666666667</v>
      </c>
      <c r="D51" s="28" t="n">
        <f aca="false">IF($A51="","",INDEX('Data Input'!$L$6:$L$143,MATCH($A51,'Data Input'!$S$6:$S$143,0)))</f>
        <v>6.00923317683881</v>
      </c>
      <c r="E51" s="26" t="str">
        <f aca="false">IF($A51="","",IF(D51&gt;5,"Severe",IF(D51&gt;3,"Moderate","Minor")))</f>
        <v>Severe</v>
      </c>
      <c r="F51" s="26" t="n">
        <f aca="false">IF($A51="","",INDEX('Data Input'!$F$6:$F$143,MATCH($A51,'Data Input'!$S$6:$S$143,0)))</f>
        <v>280</v>
      </c>
      <c r="G51" s="26" t="n">
        <f aca="false">IF($A51="","",INDEX('Data Input'!$H$6:$H$143,MATCH($A51,'Data Input'!$S$6:$S$143,0)))</f>
        <v>67</v>
      </c>
      <c r="H51" s="29" t="n">
        <f aca="false">IF($A51="","",INDEX('Data Input'!$I$6:$I$143,MATCH($A51,'Data Input'!$S$6:$S$143,0)))</f>
        <v>0.239285714285714</v>
      </c>
      <c r="I51" s="30" t="n">
        <f aca="false">IF($A51="","",INDEX('Data Input'!$M$6:$M$143,MATCH($A51,'Data Input'!$S$6:$S$143,0)))</f>
        <v>386.795348837209</v>
      </c>
      <c r="J51" s="26" t="str">
        <f aca="false">IF($A51="","",IFERROR(IF(INDEX('Data Input'!$Q$6:$Q$143,MATCH($A51,'Data Input'!$S$6:$S$143,0))="","",INDEX('Data Input'!$Q$6:$Q$143,MATCH($A51,'Data Input'!$S$6:$S$143,0))),""))</f>
        <v/>
      </c>
      <c r="K51" s="26" t="str">
        <f aca="false">IF($A51="","",IFERROR(IF(INDEX('Data Input'!$R$6:$R$143,MATCH($A51,'Data Input'!$S$6:$S$143,0))="","",INDEX('Data Input'!$R$6:$R$143,MATCH($A51,'Data Input'!$S$6:$S$143,0))),""))</f>
        <v/>
      </c>
    </row>
    <row r="52" customFormat="false" ht="15" hidden="false" customHeight="true" outlineLevel="0" collapsed="false">
      <c r="A52" s="25" t="n">
        <f aca="false">IF(47&lt;=$B$3,47,"")</f>
        <v>47</v>
      </c>
      <c r="B52" s="26" t="str">
        <f aca="false">IF($A52="","",INDEX('Data Input'!$C$6:$C$143,MATCH($A52,'Data Input'!$S$6:$S$143,0)))</f>
        <v>Friday</v>
      </c>
      <c r="C52" s="27" t="n">
        <f aca="false">IF($A52="","",INDEX('Data Input'!$D$6:$D$143,MATCH($A52,'Data Input'!$S$6:$S$143,0)))</f>
        <v>0.4375</v>
      </c>
      <c r="D52" s="28" t="n">
        <f aca="false">IF($A52="","",INDEX('Data Input'!$L$6:$L$143,MATCH($A52,'Data Input'!$S$6:$S$143,0)))</f>
        <v>5.70071614583333</v>
      </c>
      <c r="E52" s="26" t="str">
        <f aca="false">IF($A52="","",IF(D52&gt;5,"Severe",IF(D52&gt;3,"Moderate","Minor")))</f>
        <v>Severe</v>
      </c>
      <c r="F52" s="26" t="n">
        <f aca="false">IF($A52="","",INDEX('Data Input'!$F$6:$F$143,MATCH($A52,'Data Input'!$S$6:$S$143,0)))</f>
        <v>302</v>
      </c>
      <c r="G52" s="26" t="n">
        <f aca="false">IF($A52="","",INDEX('Data Input'!$H$6:$H$143,MATCH($A52,'Data Input'!$S$6:$S$143,0)))</f>
        <v>46</v>
      </c>
      <c r="H52" s="29" t="n">
        <f aca="false">IF($A52="","",INDEX('Data Input'!$I$6:$I$143,MATCH($A52,'Data Input'!$S$6:$S$143,0)))</f>
        <v>0.152317880794702</v>
      </c>
      <c r="I52" s="30" t="n">
        <f aca="false">IF($A52="","",INDEX('Data Input'!$M$6:$M$143,MATCH($A52,'Data Input'!$S$6:$S$143,0)))</f>
        <v>449.815789473684</v>
      </c>
      <c r="J52" s="26" t="str">
        <f aca="false">IF($A52="","",IFERROR(IF(INDEX('Data Input'!$Q$6:$Q$143,MATCH($A52,'Data Input'!$S$6:$S$143,0))="","",INDEX('Data Input'!$Q$6:$Q$143,MATCH($A52,'Data Input'!$S$6:$S$143,0))),""))</f>
        <v/>
      </c>
      <c r="K52" s="26" t="str">
        <f aca="false">IF($A52="","",IFERROR(IF(INDEX('Data Input'!$R$6:$R$143,MATCH($A52,'Data Input'!$S$6:$S$143,0))="","",INDEX('Data Input'!$R$6:$R$143,MATCH($A52,'Data Input'!$S$6:$S$143,0))),""))</f>
        <v/>
      </c>
    </row>
    <row r="53" customFormat="false" ht="15" hidden="false" customHeight="true" outlineLevel="0" collapsed="false">
      <c r="A53" s="25" t="n">
        <f aca="false">IF(48&lt;=$B$3,48,"")</f>
        <v>48</v>
      </c>
      <c r="B53" s="26" t="str">
        <f aca="false">IF($A53="","",INDEX('Data Input'!$C$6:$C$143,MATCH($A53,'Data Input'!$S$6:$S$143,0)))</f>
        <v>Friday</v>
      </c>
      <c r="C53" s="27" t="n">
        <f aca="false">IF($A53="","",INDEX('Data Input'!$D$6:$D$143,MATCH($A53,'Data Input'!$S$6:$S$143,0)))</f>
        <v>0.458333333333333</v>
      </c>
      <c r="D53" s="28" t="n">
        <f aca="false">IF($A53="","",INDEX('Data Input'!$L$6:$L$143,MATCH($A53,'Data Input'!$S$6:$S$143,0)))</f>
        <v>2.13613231552163</v>
      </c>
      <c r="E53" s="26" t="str">
        <f aca="false">IF($A53="","",IF(D53&gt;5,"Severe",IF(D53&gt;3,"Moderate","Minor")))</f>
        <v>Minor</v>
      </c>
      <c r="F53" s="26" t="n">
        <f aca="false">IF($A53="","",INDEX('Data Input'!$F$6:$F$143,MATCH($A53,'Data Input'!$S$6:$S$143,0)))</f>
        <v>275</v>
      </c>
      <c r="G53" s="26" t="n">
        <f aca="false">IF($A53="","",INDEX('Data Input'!$H$6:$H$143,MATCH($A53,'Data Input'!$S$6:$S$143,0)))</f>
        <v>13</v>
      </c>
      <c r="H53" s="29" t="n">
        <f aca="false">IF($A53="","",INDEX('Data Input'!$I$6:$I$143,MATCH($A53,'Data Input'!$S$6:$S$143,0)))</f>
        <v>0.0472727272727273</v>
      </c>
      <c r="I53" s="30" t="n">
        <f aca="false">IF($A53="","",INDEX('Data Input'!$M$6:$M$143,MATCH($A53,'Data Input'!$S$6:$S$143,0)))</f>
        <v>469.328301886793</v>
      </c>
      <c r="J53" s="26" t="str">
        <f aca="false">IF($A53="","",IFERROR(IF(INDEX('Data Input'!$Q$6:$Q$143,MATCH($A53,'Data Input'!$S$6:$S$143,0))="","",INDEX('Data Input'!$Q$6:$Q$143,MATCH($A53,'Data Input'!$S$6:$S$143,0))),""))</f>
        <v/>
      </c>
      <c r="K53" s="26" t="str">
        <f aca="false">IF($A53="","",IFERROR(IF(INDEX('Data Input'!$R$6:$R$143,MATCH($A53,'Data Input'!$S$6:$S$143,0))="","",INDEX('Data Input'!$R$6:$R$143,MATCH($A53,'Data Input'!$S$6:$S$143,0))),""))</f>
        <v/>
      </c>
    </row>
    <row r="54" customFormat="false" ht="15" hidden="false" customHeight="true" outlineLevel="0" collapsed="false">
      <c r="A54" s="25" t="n">
        <f aca="false">IF(49&lt;=$B$3,49,"")</f>
        <v>49</v>
      </c>
      <c r="B54" s="26" t="str">
        <f aca="false">IF($A54="","",INDEX('Data Input'!$C$6:$C$143,MATCH($A54,'Data Input'!$S$6:$S$143,0)))</f>
        <v>Friday</v>
      </c>
      <c r="C54" s="27" t="n">
        <f aca="false">IF($A54="","",INDEX('Data Input'!$D$6:$D$143,MATCH($A54,'Data Input'!$S$6:$S$143,0)))</f>
        <v>0.520833333333333</v>
      </c>
      <c r="D54" s="28" t="n">
        <f aca="false">IF($A54="","",INDEX('Data Input'!$L$6:$L$143,MATCH($A54,'Data Input'!$S$6:$S$143,0)))</f>
        <v>2.93179148311307</v>
      </c>
      <c r="E54" s="26" t="str">
        <f aca="false">IF($A54="","",IF(D54&gt;5,"Severe",IF(D54&gt;3,"Moderate","Minor")))</f>
        <v>Minor</v>
      </c>
      <c r="F54" s="26" t="n">
        <f aca="false">IF($A54="","",INDEX('Data Input'!$F$6:$F$143,MATCH($A54,'Data Input'!$S$6:$S$143,0)))</f>
        <v>251</v>
      </c>
      <c r="G54" s="26" t="n">
        <f aca="false">IF($A54="","",INDEX('Data Input'!$H$6:$H$143,MATCH($A54,'Data Input'!$S$6:$S$143,0)))</f>
        <v>24</v>
      </c>
      <c r="H54" s="29" t="n">
        <f aca="false">IF($A54="","",INDEX('Data Input'!$I$6:$I$143,MATCH($A54,'Data Input'!$S$6:$S$143,0)))</f>
        <v>0.0956175298804781</v>
      </c>
      <c r="I54" s="30" t="n">
        <f aca="false">IF($A54="","",INDEX('Data Input'!$M$6:$M$143,MATCH($A54,'Data Input'!$S$6:$S$143,0)))</f>
        <v>385.463829787234</v>
      </c>
      <c r="J54" s="26" t="str">
        <f aca="false">IF($A54="","",IFERROR(IF(INDEX('Data Input'!$Q$6:$Q$143,MATCH($A54,'Data Input'!$S$6:$S$143,0))="","",INDEX('Data Input'!$Q$6:$Q$143,MATCH($A54,'Data Input'!$S$6:$S$143,0))),""))</f>
        <v/>
      </c>
      <c r="K54" s="26" t="str">
        <f aca="false">IF($A54="","",IFERROR(IF(INDEX('Data Input'!$R$6:$R$143,MATCH($A54,'Data Input'!$S$6:$S$143,0))="","",INDEX('Data Input'!$R$6:$R$143,MATCH($A54,'Data Input'!$S$6:$S$143,0))),""))</f>
        <v/>
      </c>
    </row>
    <row r="55" customFormat="false" ht="15" hidden="false" customHeight="true" outlineLevel="0" collapsed="false">
      <c r="A55" s="25" t="n">
        <f aca="false">IF(50&lt;=$B$3,50,"")</f>
        <v>50</v>
      </c>
      <c r="B55" s="26" t="str">
        <f aca="false">IF($A55="","",INDEX('Data Input'!$C$6:$C$143,MATCH($A55,'Data Input'!$S$6:$S$143,0)))</f>
        <v>Friday</v>
      </c>
      <c r="C55" s="27" t="n">
        <f aca="false">IF($A55="","",INDEX('Data Input'!$D$6:$D$143,MATCH($A55,'Data Input'!$S$6:$S$143,0)))</f>
        <v>0.729166666666667</v>
      </c>
      <c r="D55" s="28" t="n">
        <f aca="false">IF($A55="","",INDEX('Data Input'!$L$6:$L$143,MATCH($A55,'Data Input'!$S$6:$S$143,0)))</f>
        <v>7.22368421052632</v>
      </c>
      <c r="E55" s="26" t="str">
        <f aca="false">IF($A55="","",IF(D55&gt;5,"Severe",IF(D55&gt;3,"Moderate","Minor")))</f>
        <v>Severe</v>
      </c>
      <c r="F55" s="26" t="n">
        <f aca="false">IF($A55="","",INDEX('Data Input'!$F$6:$F$143,MATCH($A55,'Data Input'!$S$6:$S$143,0)))</f>
        <v>179</v>
      </c>
      <c r="G55" s="26" t="n">
        <f aca="false">IF($A55="","",INDEX('Data Input'!$H$6:$H$143,MATCH($A55,'Data Input'!$S$6:$S$143,0)))</f>
        <v>65</v>
      </c>
      <c r="H55" s="29" t="n">
        <f aca="false">IF($A55="","",INDEX('Data Input'!$I$6:$I$143,MATCH($A55,'Data Input'!$S$6:$S$143,0)))</f>
        <v>0.363128491620112</v>
      </c>
      <c r="I55" s="30" t="n">
        <f aca="false">IF($A55="","",INDEX('Data Input'!$M$6:$M$143,MATCH($A55,'Data Input'!$S$6:$S$143,0)))</f>
        <v>480.940170940171</v>
      </c>
      <c r="J55" s="26" t="str">
        <f aca="false">IF($A55="","",IFERROR(IF(INDEX('Data Input'!$Q$6:$Q$143,MATCH($A55,'Data Input'!$S$6:$S$143,0))="","",INDEX('Data Input'!$Q$6:$Q$143,MATCH($A55,'Data Input'!$S$6:$S$143,0))),""))</f>
        <v/>
      </c>
      <c r="K55" s="26" t="str">
        <f aca="false">IF($A55="","",IFERROR(IF(INDEX('Data Input'!$R$6:$R$143,MATCH($A55,'Data Input'!$S$6:$S$143,0))="","",INDEX('Data Input'!$R$6:$R$143,MATCH($A55,'Data Input'!$S$6:$S$143,0))),""))</f>
        <v/>
      </c>
    </row>
    <row r="56" customFormat="false" ht="15" hidden="false" customHeight="true" outlineLevel="0" collapsed="false">
      <c r="A56" s="25" t="n">
        <f aca="false">IF(51&lt;=$B$3,51,"")</f>
        <v>51</v>
      </c>
      <c r="B56" s="26" t="str">
        <f aca="false">IF($A56="","",INDEX('Data Input'!$C$6:$C$143,MATCH($A56,'Data Input'!$S$6:$S$143,0)))</f>
        <v>Friday</v>
      </c>
      <c r="C56" s="27" t="n">
        <f aca="false">IF($A56="","",INDEX('Data Input'!$D$6:$D$143,MATCH($A56,'Data Input'!$S$6:$S$143,0)))</f>
        <v>0.75</v>
      </c>
      <c r="D56" s="28" t="n">
        <f aca="false">IF($A56="","",INDEX('Data Input'!$L$6:$L$143,MATCH($A56,'Data Input'!$S$6:$S$143,0)))</f>
        <v>6.34628205128205</v>
      </c>
      <c r="E56" s="26" t="str">
        <f aca="false">IF($A56="","",IF(D56&gt;5,"Severe",IF(D56&gt;3,"Moderate","Minor")))</f>
        <v>Severe</v>
      </c>
      <c r="F56" s="26" t="n">
        <f aca="false">IF($A56="","",INDEX('Data Input'!$F$6:$F$143,MATCH($A56,'Data Input'!$S$6:$S$143,0)))</f>
        <v>144</v>
      </c>
      <c r="G56" s="26" t="n">
        <f aca="false">IF($A56="","",INDEX('Data Input'!$H$6:$H$143,MATCH($A56,'Data Input'!$S$6:$S$143,0)))</f>
        <v>14</v>
      </c>
      <c r="H56" s="29" t="n">
        <f aca="false">IF($A56="","",INDEX('Data Input'!$I$6:$I$143,MATCH($A56,'Data Input'!$S$6:$S$143,0)))</f>
        <v>0.0972222222222222</v>
      </c>
      <c r="I56" s="30" t="n">
        <f aca="false">IF($A56="","",INDEX('Data Input'!$M$6:$M$143,MATCH($A56,'Data Input'!$S$6:$S$143,0)))</f>
        <v>426.154411764706</v>
      </c>
      <c r="J56" s="26" t="str">
        <f aca="false">IF($A56="","",IFERROR(IF(INDEX('Data Input'!$Q$6:$Q$143,MATCH($A56,'Data Input'!$S$6:$S$143,0))="","",INDEX('Data Input'!$Q$6:$Q$143,MATCH($A56,'Data Input'!$S$6:$S$143,0))),""))</f>
        <v/>
      </c>
      <c r="K56" s="26" t="str">
        <f aca="false">IF($A56="","",IFERROR(IF(INDEX('Data Input'!$R$6:$R$143,MATCH($A56,'Data Input'!$S$6:$S$143,0))="","",INDEX('Data Input'!$R$6:$R$143,MATCH($A56,'Data Input'!$S$6:$S$143,0))),""))</f>
        <v/>
      </c>
    </row>
    <row r="57" customFormat="false" ht="15" hidden="false" customHeight="true" outlineLevel="0" collapsed="false">
      <c r="A57" s="25" t="n">
        <f aca="false">IF(52&lt;=$B$3,52,"")</f>
        <v>52</v>
      </c>
      <c r="B57" s="26" t="str">
        <f aca="false">IF($A57="","",INDEX('Data Input'!$C$6:$C$143,MATCH($A57,'Data Input'!$S$6:$S$143,0)))</f>
        <v>Saturday</v>
      </c>
      <c r="C57" s="27" t="n">
        <f aca="false">IF($A57="","",INDEX('Data Input'!$D$6:$D$143,MATCH($A57,'Data Input'!$S$6:$S$143,0)))</f>
        <v>0.5625</v>
      </c>
      <c r="D57" s="28" t="n">
        <f aca="false">IF($A57="","",INDEX('Data Input'!$L$6:$L$143,MATCH($A57,'Data Input'!$S$6:$S$143,0)))</f>
        <v>4.02671232876712</v>
      </c>
      <c r="E57" s="26" t="str">
        <f aca="false">IF($A57="","",IF(D57&gt;5,"Severe",IF(D57&gt;3,"Moderate","Minor")))</f>
        <v>Moderate</v>
      </c>
      <c r="F57" s="26" t="n">
        <f aca="false">IF($A57="","",INDEX('Data Input'!$F$6:$F$143,MATCH($A57,'Data Input'!$S$6:$S$143,0)))</f>
        <v>102</v>
      </c>
      <c r="G57" s="26" t="n">
        <f aca="false">IF($A57="","",INDEX('Data Input'!$H$6:$H$143,MATCH($A57,'Data Input'!$S$6:$S$143,0)))</f>
        <v>29</v>
      </c>
      <c r="H57" s="29" t="n">
        <f aca="false">IF($A57="","",INDEX('Data Input'!$I$6:$I$143,MATCH($A57,'Data Input'!$S$6:$S$143,0)))</f>
        <v>0.284313725490196</v>
      </c>
      <c r="I57" s="30" t="n">
        <f aca="false">IF($A57="","",INDEX('Data Input'!$M$6:$M$143,MATCH($A57,'Data Input'!$S$6:$S$143,0)))</f>
        <v>432.106666666667</v>
      </c>
      <c r="J57" s="26" t="str">
        <f aca="false">IF($A57="","",IFERROR(IF(INDEX('Data Input'!$Q$6:$Q$143,MATCH($A57,'Data Input'!$S$6:$S$143,0))="","",INDEX('Data Input'!$Q$6:$Q$143,MATCH($A57,'Data Input'!$S$6:$S$143,0))),""))</f>
        <v/>
      </c>
      <c r="K57" s="26" t="str">
        <f aca="false">IF($A57="","",IFERROR(IF(INDEX('Data Input'!$R$6:$R$143,MATCH($A57,'Data Input'!$S$6:$S$143,0))="","",INDEX('Data Input'!$R$6:$R$143,MATCH($A57,'Data Input'!$S$6:$S$143,0))),""))</f>
        <v/>
      </c>
    </row>
    <row r="58" customFormat="false" ht="15" hidden="false" customHeight="true" outlineLevel="0" collapsed="false">
      <c r="A58" s="25" t="n">
        <f aca="false">IF(53&lt;=$B$3,53,"")</f>
        <v>53</v>
      </c>
      <c r="B58" s="26" t="str">
        <f aca="false">IF($A58="","",INDEX('Data Input'!$C$6:$C$143,MATCH($A58,'Data Input'!$S$6:$S$143,0)))</f>
        <v>Saturday</v>
      </c>
      <c r="C58" s="27" t="n">
        <f aca="false">IF($A58="","",INDEX('Data Input'!$D$6:$D$143,MATCH($A58,'Data Input'!$S$6:$S$143,0)))</f>
        <v>0.583333333333333</v>
      </c>
      <c r="D58" s="28" t="n">
        <f aca="false">IF($A58="","",INDEX('Data Input'!$L$6:$L$143,MATCH($A58,'Data Input'!$S$6:$S$143,0)))</f>
        <v>5.67619047619048</v>
      </c>
      <c r="E58" s="26" t="str">
        <f aca="false">IF($A58="","",IF(D58&gt;5,"Severe",IF(D58&gt;3,"Moderate","Minor")))</f>
        <v>Severe</v>
      </c>
      <c r="F58" s="26" t="n">
        <f aca="false">IF($A58="","",INDEX('Data Input'!$F$6:$F$143,MATCH($A58,'Data Input'!$S$6:$S$143,0)))</f>
        <v>105</v>
      </c>
      <c r="G58" s="26" t="n">
        <f aca="false">IF($A58="","",INDEX('Data Input'!$H$6:$H$143,MATCH($A58,'Data Input'!$S$6:$S$143,0)))</f>
        <v>21</v>
      </c>
      <c r="H58" s="29" t="n">
        <f aca="false">IF($A58="","",INDEX('Data Input'!$I$6:$I$143,MATCH($A58,'Data Input'!$S$6:$S$143,0)))</f>
        <v>0.2</v>
      </c>
      <c r="I58" s="30" t="n">
        <f aca="false">IF($A58="","",INDEX('Data Input'!$M$6:$M$143,MATCH($A58,'Data Input'!$S$6:$S$143,0)))</f>
        <v>484.556818181818</v>
      </c>
      <c r="J58" s="26" t="str">
        <f aca="false">IF($A58="","",IFERROR(IF(INDEX('Data Input'!$Q$6:$Q$143,MATCH($A58,'Data Input'!$S$6:$S$143,0))="","",INDEX('Data Input'!$Q$6:$Q$143,MATCH($A58,'Data Input'!$S$6:$S$143,0))),""))</f>
        <v/>
      </c>
      <c r="K58" s="26" t="str">
        <f aca="false">IF($A58="","",IFERROR(IF(INDEX('Data Input'!$R$6:$R$143,MATCH($A58,'Data Input'!$S$6:$S$143,0))="","",INDEX('Data Input'!$R$6:$R$143,MATCH($A58,'Data Input'!$S$6:$S$143,0))),""))</f>
        <v/>
      </c>
    </row>
    <row r="59" customFormat="false" ht="15" hidden="false" customHeight="true" outlineLevel="0" collapsed="false">
      <c r="A59" s="25" t="str">
        <f aca="false">IF(54&lt;=$B$3,54,"")</f>
        <v/>
      </c>
      <c r="B59" s="26" t="str">
        <f aca="false">IF($A59="","",INDEX('Data Input'!$C$6:$C$143,MATCH($A59,'Data Input'!$S$6:$S$143,0)))</f>
        <v/>
      </c>
      <c r="C59" s="27" t="str">
        <f aca="false">IF($A59="","",INDEX('Data Input'!$D$6:$D$143,MATCH($A59,'Data Input'!$S$6:$S$143,0)))</f>
        <v/>
      </c>
      <c r="D59" s="28" t="str">
        <f aca="false">IF($A59="","",INDEX('Data Input'!$L$6:$L$143,MATCH($A59,'Data Input'!$S$6:$S$143,0)))</f>
        <v/>
      </c>
      <c r="E59" s="26" t="str">
        <f aca="false">IF($A59="","",IF(D59&gt;5,"Severe",IF(D59&gt;3,"Moderate","Minor")))</f>
        <v/>
      </c>
      <c r="F59" s="26" t="str">
        <f aca="false">IF($A59="","",INDEX('Data Input'!$F$6:$F$143,MATCH($A59,'Data Input'!$S$6:$S$143,0)))</f>
        <v/>
      </c>
      <c r="G59" s="26" t="str">
        <f aca="false">IF($A59="","",INDEX('Data Input'!$H$6:$H$143,MATCH($A59,'Data Input'!$S$6:$S$143,0)))</f>
        <v/>
      </c>
      <c r="H59" s="29" t="str">
        <f aca="false">IF($A59="","",INDEX('Data Input'!$I$6:$I$143,MATCH($A59,'Data Input'!$S$6:$S$143,0)))</f>
        <v/>
      </c>
      <c r="I59" s="30" t="str">
        <f aca="false">IF($A59="","",INDEX('Data Input'!$M$6:$M$143,MATCH($A59,'Data Input'!$S$6:$S$143,0)))</f>
        <v/>
      </c>
      <c r="J59" s="26" t="str">
        <f aca="false">IF($A59="","",IFERROR(IF(INDEX('Data Input'!$Q$6:$Q$143,MATCH($A59,'Data Input'!$S$6:$S$143,0))="","",INDEX('Data Input'!$Q$6:$Q$143,MATCH($A59,'Data Input'!$S$6:$S$143,0))),""))</f>
        <v/>
      </c>
      <c r="K59" s="26" t="str">
        <f aca="false">IF($A59="","",IFERROR(IF(INDEX('Data Input'!$R$6:$R$143,MATCH($A59,'Data Input'!$S$6:$S$143,0))="","",INDEX('Data Input'!$R$6:$R$143,MATCH($A59,'Data Input'!$S$6:$S$143,0))),""))</f>
        <v/>
      </c>
    </row>
    <row r="60" customFormat="false" ht="15" hidden="false" customHeight="true" outlineLevel="0" collapsed="false">
      <c r="A60" s="25" t="str">
        <f aca="false">IF(55&lt;=$B$3,55,"")</f>
        <v/>
      </c>
      <c r="B60" s="26" t="str">
        <f aca="false">IF($A60="","",INDEX('Data Input'!$C$6:$C$143,MATCH($A60,'Data Input'!$S$6:$S$143,0)))</f>
        <v/>
      </c>
      <c r="C60" s="27" t="str">
        <f aca="false">IF($A60="","",INDEX('Data Input'!$D$6:$D$143,MATCH($A60,'Data Input'!$S$6:$S$143,0)))</f>
        <v/>
      </c>
      <c r="D60" s="28" t="str">
        <f aca="false">IF($A60="","",INDEX('Data Input'!$L$6:$L$143,MATCH($A60,'Data Input'!$S$6:$S$143,0)))</f>
        <v/>
      </c>
      <c r="E60" s="26" t="str">
        <f aca="false">IF($A60="","",IF(D60&gt;5,"Severe",IF(D60&gt;3,"Moderate","Minor")))</f>
        <v/>
      </c>
      <c r="F60" s="26" t="str">
        <f aca="false">IF($A60="","",INDEX('Data Input'!$F$6:$F$143,MATCH($A60,'Data Input'!$S$6:$S$143,0)))</f>
        <v/>
      </c>
      <c r="G60" s="26" t="str">
        <f aca="false">IF($A60="","",INDEX('Data Input'!$H$6:$H$143,MATCH($A60,'Data Input'!$S$6:$S$143,0)))</f>
        <v/>
      </c>
      <c r="H60" s="29" t="str">
        <f aca="false">IF($A60="","",INDEX('Data Input'!$I$6:$I$143,MATCH($A60,'Data Input'!$S$6:$S$143,0)))</f>
        <v/>
      </c>
      <c r="I60" s="30" t="str">
        <f aca="false">IF($A60="","",INDEX('Data Input'!$M$6:$M$143,MATCH($A60,'Data Input'!$S$6:$S$143,0)))</f>
        <v/>
      </c>
      <c r="J60" s="26" t="str">
        <f aca="false">IF($A60="","",IFERROR(IF(INDEX('Data Input'!$Q$6:$Q$143,MATCH($A60,'Data Input'!$S$6:$S$143,0))="","",INDEX('Data Input'!$Q$6:$Q$143,MATCH($A60,'Data Input'!$S$6:$S$143,0))),""))</f>
        <v/>
      </c>
      <c r="K60" s="26" t="str">
        <f aca="false">IF($A60="","",IFERROR(IF(INDEX('Data Input'!$R$6:$R$143,MATCH($A60,'Data Input'!$S$6:$S$143,0))="","",INDEX('Data Input'!$R$6:$R$143,MATCH($A60,'Data Input'!$S$6:$S$143,0))),""))</f>
        <v/>
      </c>
    </row>
    <row r="61" customFormat="false" ht="15" hidden="false" customHeight="true" outlineLevel="0" collapsed="false">
      <c r="A61" s="25" t="str">
        <f aca="false">IF(56&lt;=$B$3,56,"")</f>
        <v/>
      </c>
      <c r="B61" s="26" t="str">
        <f aca="false">IF($A61="","",INDEX('Data Input'!$C$6:$C$143,MATCH($A61,'Data Input'!$S$6:$S$143,0)))</f>
        <v/>
      </c>
      <c r="C61" s="27" t="str">
        <f aca="false">IF($A61="","",INDEX('Data Input'!$D$6:$D$143,MATCH($A61,'Data Input'!$S$6:$S$143,0)))</f>
        <v/>
      </c>
      <c r="D61" s="28" t="str">
        <f aca="false">IF($A61="","",INDEX('Data Input'!$L$6:$L$143,MATCH($A61,'Data Input'!$S$6:$S$143,0)))</f>
        <v/>
      </c>
      <c r="E61" s="26" t="str">
        <f aca="false">IF($A61="","",IF(D61&gt;5,"Severe",IF(D61&gt;3,"Moderate","Minor")))</f>
        <v/>
      </c>
      <c r="F61" s="26" t="str">
        <f aca="false">IF($A61="","",INDEX('Data Input'!$F$6:$F$143,MATCH($A61,'Data Input'!$S$6:$S$143,0)))</f>
        <v/>
      </c>
      <c r="G61" s="26" t="str">
        <f aca="false">IF($A61="","",INDEX('Data Input'!$H$6:$H$143,MATCH($A61,'Data Input'!$S$6:$S$143,0)))</f>
        <v/>
      </c>
      <c r="H61" s="29" t="str">
        <f aca="false">IF($A61="","",INDEX('Data Input'!$I$6:$I$143,MATCH($A61,'Data Input'!$S$6:$S$143,0)))</f>
        <v/>
      </c>
      <c r="I61" s="30" t="str">
        <f aca="false">IF($A61="","",INDEX('Data Input'!$M$6:$M$143,MATCH($A61,'Data Input'!$S$6:$S$143,0)))</f>
        <v/>
      </c>
      <c r="J61" s="26" t="str">
        <f aca="false">IF($A61="","",IFERROR(IF(INDEX('Data Input'!$Q$6:$Q$143,MATCH($A61,'Data Input'!$S$6:$S$143,0))="","",INDEX('Data Input'!$Q$6:$Q$143,MATCH($A61,'Data Input'!$S$6:$S$143,0))),""))</f>
        <v/>
      </c>
      <c r="K61" s="26" t="str">
        <f aca="false">IF($A61="","",IFERROR(IF(INDEX('Data Input'!$R$6:$R$143,MATCH($A61,'Data Input'!$S$6:$S$143,0))="","",INDEX('Data Input'!$R$6:$R$143,MATCH($A61,'Data Input'!$S$6:$S$143,0))),""))</f>
        <v/>
      </c>
    </row>
    <row r="62" customFormat="false" ht="15" hidden="false" customHeight="true" outlineLevel="0" collapsed="false">
      <c r="A62" s="25" t="str">
        <f aca="false">IF(57&lt;=$B$3,57,"")</f>
        <v/>
      </c>
      <c r="B62" s="26" t="str">
        <f aca="false">IF($A62="","",INDEX('Data Input'!$C$6:$C$143,MATCH($A62,'Data Input'!$S$6:$S$143,0)))</f>
        <v/>
      </c>
      <c r="C62" s="27" t="str">
        <f aca="false">IF($A62="","",INDEX('Data Input'!$D$6:$D$143,MATCH($A62,'Data Input'!$S$6:$S$143,0)))</f>
        <v/>
      </c>
      <c r="D62" s="28" t="str">
        <f aca="false">IF($A62="","",INDEX('Data Input'!$L$6:$L$143,MATCH($A62,'Data Input'!$S$6:$S$143,0)))</f>
        <v/>
      </c>
      <c r="E62" s="26" t="str">
        <f aca="false">IF($A62="","",IF(D62&gt;5,"Severe",IF(D62&gt;3,"Moderate","Minor")))</f>
        <v/>
      </c>
      <c r="F62" s="26" t="str">
        <f aca="false">IF($A62="","",INDEX('Data Input'!$F$6:$F$143,MATCH($A62,'Data Input'!$S$6:$S$143,0)))</f>
        <v/>
      </c>
      <c r="G62" s="26" t="str">
        <f aca="false">IF($A62="","",INDEX('Data Input'!$H$6:$H$143,MATCH($A62,'Data Input'!$S$6:$S$143,0)))</f>
        <v/>
      </c>
      <c r="H62" s="29" t="str">
        <f aca="false">IF($A62="","",INDEX('Data Input'!$I$6:$I$143,MATCH($A62,'Data Input'!$S$6:$S$143,0)))</f>
        <v/>
      </c>
      <c r="I62" s="30" t="str">
        <f aca="false">IF($A62="","",INDEX('Data Input'!$M$6:$M$143,MATCH($A62,'Data Input'!$S$6:$S$143,0)))</f>
        <v/>
      </c>
      <c r="J62" s="26" t="str">
        <f aca="false">IF($A62="","",IFERROR(IF(INDEX('Data Input'!$Q$6:$Q$143,MATCH($A62,'Data Input'!$S$6:$S$143,0))="","",INDEX('Data Input'!$Q$6:$Q$143,MATCH($A62,'Data Input'!$S$6:$S$143,0))),""))</f>
        <v/>
      </c>
      <c r="K62" s="26" t="str">
        <f aca="false">IF($A62="","",IFERROR(IF(INDEX('Data Input'!$R$6:$R$143,MATCH($A62,'Data Input'!$S$6:$S$143,0))="","",INDEX('Data Input'!$R$6:$R$143,MATCH($A62,'Data Input'!$S$6:$S$143,0))),""))</f>
        <v/>
      </c>
    </row>
    <row r="63" customFormat="false" ht="15" hidden="false" customHeight="true" outlineLevel="0" collapsed="false">
      <c r="A63" s="25" t="str">
        <f aca="false">IF(58&lt;=$B$3,58,"")</f>
        <v/>
      </c>
      <c r="B63" s="26" t="str">
        <f aca="false">IF($A63="","",INDEX('Data Input'!$C$6:$C$143,MATCH($A63,'Data Input'!$S$6:$S$143,0)))</f>
        <v/>
      </c>
      <c r="C63" s="27" t="str">
        <f aca="false">IF($A63="","",INDEX('Data Input'!$D$6:$D$143,MATCH($A63,'Data Input'!$S$6:$S$143,0)))</f>
        <v/>
      </c>
      <c r="D63" s="28" t="str">
        <f aca="false">IF($A63="","",INDEX('Data Input'!$L$6:$L$143,MATCH($A63,'Data Input'!$S$6:$S$143,0)))</f>
        <v/>
      </c>
      <c r="E63" s="26" t="str">
        <f aca="false">IF($A63="","",IF(D63&gt;5,"Severe",IF(D63&gt;3,"Moderate","Minor")))</f>
        <v/>
      </c>
      <c r="F63" s="26" t="str">
        <f aca="false">IF($A63="","",INDEX('Data Input'!$F$6:$F$143,MATCH($A63,'Data Input'!$S$6:$S$143,0)))</f>
        <v/>
      </c>
      <c r="G63" s="26" t="str">
        <f aca="false">IF($A63="","",INDEX('Data Input'!$H$6:$H$143,MATCH($A63,'Data Input'!$S$6:$S$143,0)))</f>
        <v/>
      </c>
      <c r="H63" s="29" t="str">
        <f aca="false">IF($A63="","",INDEX('Data Input'!$I$6:$I$143,MATCH($A63,'Data Input'!$S$6:$S$143,0)))</f>
        <v/>
      </c>
      <c r="I63" s="30" t="str">
        <f aca="false">IF($A63="","",INDEX('Data Input'!$M$6:$M$143,MATCH($A63,'Data Input'!$S$6:$S$143,0)))</f>
        <v/>
      </c>
      <c r="J63" s="26" t="str">
        <f aca="false">IF($A63="","",IFERROR(IF(INDEX('Data Input'!$Q$6:$Q$143,MATCH($A63,'Data Input'!$S$6:$S$143,0))="","",INDEX('Data Input'!$Q$6:$Q$143,MATCH($A63,'Data Input'!$S$6:$S$143,0))),""))</f>
        <v/>
      </c>
      <c r="K63" s="26" t="str">
        <f aca="false">IF($A63="","",IFERROR(IF(INDEX('Data Input'!$R$6:$R$143,MATCH($A63,'Data Input'!$S$6:$S$143,0))="","",INDEX('Data Input'!$R$6:$R$143,MATCH($A63,'Data Input'!$S$6:$S$143,0))),""))</f>
        <v/>
      </c>
    </row>
    <row r="64" customFormat="false" ht="15" hidden="false" customHeight="true" outlineLevel="0" collapsed="false">
      <c r="A64" s="25" t="str">
        <f aca="false">IF(59&lt;=$B$3,59,"")</f>
        <v/>
      </c>
      <c r="B64" s="26" t="str">
        <f aca="false">IF($A64="","",INDEX('Data Input'!$C$6:$C$143,MATCH($A64,'Data Input'!$S$6:$S$143,0)))</f>
        <v/>
      </c>
      <c r="C64" s="27" t="str">
        <f aca="false">IF($A64="","",INDEX('Data Input'!$D$6:$D$143,MATCH($A64,'Data Input'!$S$6:$S$143,0)))</f>
        <v/>
      </c>
      <c r="D64" s="28" t="str">
        <f aca="false">IF($A64="","",INDEX('Data Input'!$L$6:$L$143,MATCH($A64,'Data Input'!$S$6:$S$143,0)))</f>
        <v/>
      </c>
      <c r="E64" s="26" t="str">
        <f aca="false">IF($A64="","",IF(D64&gt;5,"Severe",IF(D64&gt;3,"Moderate","Minor")))</f>
        <v/>
      </c>
      <c r="F64" s="26" t="str">
        <f aca="false">IF($A64="","",INDEX('Data Input'!$F$6:$F$143,MATCH($A64,'Data Input'!$S$6:$S$143,0)))</f>
        <v/>
      </c>
      <c r="G64" s="26" t="str">
        <f aca="false">IF($A64="","",INDEX('Data Input'!$H$6:$H$143,MATCH($A64,'Data Input'!$S$6:$S$143,0)))</f>
        <v/>
      </c>
      <c r="H64" s="29" t="str">
        <f aca="false">IF($A64="","",INDEX('Data Input'!$I$6:$I$143,MATCH($A64,'Data Input'!$S$6:$S$143,0)))</f>
        <v/>
      </c>
      <c r="I64" s="30" t="str">
        <f aca="false">IF($A64="","",INDEX('Data Input'!$M$6:$M$143,MATCH($A64,'Data Input'!$S$6:$S$143,0)))</f>
        <v/>
      </c>
      <c r="J64" s="26" t="str">
        <f aca="false">IF($A64="","",IFERROR(IF(INDEX('Data Input'!$Q$6:$Q$143,MATCH($A64,'Data Input'!$S$6:$S$143,0))="","",INDEX('Data Input'!$Q$6:$Q$143,MATCH($A64,'Data Input'!$S$6:$S$143,0))),""))</f>
        <v/>
      </c>
      <c r="K64" s="26" t="str">
        <f aca="false">IF($A64="","",IFERROR(IF(INDEX('Data Input'!$R$6:$R$143,MATCH($A64,'Data Input'!$S$6:$S$143,0))="","",INDEX('Data Input'!$R$6:$R$143,MATCH($A64,'Data Input'!$S$6:$S$143,0))),""))</f>
        <v/>
      </c>
    </row>
    <row r="65" customFormat="false" ht="15" hidden="false" customHeight="true" outlineLevel="0" collapsed="false">
      <c r="A65" s="25" t="str">
        <f aca="false">IF(60&lt;=$B$3,60,"")</f>
        <v/>
      </c>
      <c r="B65" s="26" t="str">
        <f aca="false">IF($A65="","",INDEX('Data Input'!$C$6:$C$143,MATCH($A65,'Data Input'!$S$6:$S$143,0)))</f>
        <v/>
      </c>
      <c r="C65" s="27" t="str">
        <f aca="false">IF($A65="","",INDEX('Data Input'!$D$6:$D$143,MATCH($A65,'Data Input'!$S$6:$S$143,0)))</f>
        <v/>
      </c>
      <c r="D65" s="28" t="str">
        <f aca="false">IF($A65="","",INDEX('Data Input'!$L$6:$L$143,MATCH($A65,'Data Input'!$S$6:$S$143,0)))</f>
        <v/>
      </c>
      <c r="E65" s="26" t="str">
        <f aca="false">IF($A65="","",IF(D65&gt;5,"Severe",IF(D65&gt;3,"Moderate","Minor")))</f>
        <v/>
      </c>
      <c r="F65" s="26" t="str">
        <f aca="false">IF($A65="","",INDEX('Data Input'!$F$6:$F$143,MATCH($A65,'Data Input'!$S$6:$S$143,0)))</f>
        <v/>
      </c>
      <c r="G65" s="26" t="str">
        <f aca="false">IF($A65="","",INDEX('Data Input'!$H$6:$H$143,MATCH($A65,'Data Input'!$S$6:$S$143,0)))</f>
        <v/>
      </c>
      <c r="H65" s="29" t="str">
        <f aca="false">IF($A65="","",INDEX('Data Input'!$I$6:$I$143,MATCH($A65,'Data Input'!$S$6:$S$143,0)))</f>
        <v/>
      </c>
      <c r="I65" s="30" t="str">
        <f aca="false">IF($A65="","",INDEX('Data Input'!$M$6:$M$143,MATCH($A65,'Data Input'!$S$6:$S$143,0)))</f>
        <v/>
      </c>
      <c r="J65" s="26" t="str">
        <f aca="false">IF($A65="","",IFERROR(IF(INDEX('Data Input'!$Q$6:$Q$143,MATCH($A65,'Data Input'!$S$6:$S$143,0))="","",INDEX('Data Input'!$Q$6:$Q$143,MATCH($A65,'Data Input'!$S$6:$S$143,0))),""))</f>
        <v/>
      </c>
      <c r="K65" s="26" t="str">
        <f aca="false">IF($A65="","",IFERROR(IF(INDEX('Data Input'!$R$6:$R$143,MATCH($A65,'Data Input'!$S$6:$S$143,0))="","",INDEX('Data Input'!$R$6:$R$143,MATCH($A65,'Data Input'!$S$6:$S$143,0))),""))</f>
        <v/>
      </c>
    </row>
    <row r="66" customFormat="false" ht="15" hidden="false" customHeight="true" outlineLevel="0" collapsed="false">
      <c r="A66" s="25" t="str">
        <f aca="false">IF(61&lt;=$B$3,61,"")</f>
        <v/>
      </c>
      <c r="B66" s="26" t="str">
        <f aca="false">IF($A66="","",INDEX('Data Input'!$C$6:$C$143,MATCH($A66,'Data Input'!$S$6:$S$143,0)))</f>
        <v/>
      </c>
      <c r="C66" s="27" t="str">
        <f aca="false">IF($A66="","",INDEX('Data Input'!$D$6:$D$143,MATCH($A66,'Data Input'!$S$6:$S$143,0)))</f>
        <v/>
      </c>
      <c r="D66" s="28" t="str">
        <f aca="false">IF($A66="","",INDEX('Data Input'!$L$6:$L$143,MATCH($A66,'Data Input'!$S$6:$S$143,0)))</f>
        <v/>
      </c>
      <c r="E66" s="26" t="str">
        <f aca="false">IF($A66="","",IF(D66&gt;5,"Severe",IF(D66&gt;3,"Moderate","Minor")))</f>
        <v/>
      </c>
      <c r="F66" s="26" t="str">
        <f aca="false">IF($A66="","",INDEX('Data Input'!$F$6:$F$143,MATCH($A66,'Data Input'!$S$6:$S$143,0)))</f>
        <v/>
      </c>
      <c r="G66" s="26" t="str">
        <f aca="false">IF($A66="","",INDEX('Data Input'!$H$6:$H$143,MATCH($A66,'Data Input'!$S$6:$S$143,0)))</f>
        <v/>
      </c>
      <c r="H66" s="29" t="str">
        <f aca="false">IF($A66="","",INDEX('Data Input'!$I$6:$I$143,MATCH($A66,'Data Input'!$S$6:$S$143,0)))</f>
        <v/>
      </c>
      <c r="I66" s="30" t="str">
        <f aca="false">IF($A66="","",INDEX('Data Input'!$M$6:$M$143,MATCH($A66,'Data Input'!$S$6:$S$143,0)))</f>
        <v/>
      </c>
      <c r="J66" s="26" t="str">
        <f aca="false">IF($A66="","",IFERROR(IF(INDEX('Data Input'!$Q$6:$Q$143,MATCH($A66,'Data Input'!$S$6:$S$143,0))="","",INDEX('Data Input'!$Q$6:$Q$143,MATCH($A66,'Data Input'!$S$6:$S$143,0))),""))</f>
        <v/>
      </c>
      <c r="K66" s="26" t="str">
        <f aca="false">IF($A66="","",IFERROR(IF(INDEX('Data Input'!$R$6:$R$143,MATCH($A66,'Data Input'!$S$6:$S$143,0))="","",INDEX('Data Input'!$R$6:$R$143,MATCH($A66,'Data Input'!$S$6:$S$143,0))),""))</f>
        <v/>
      </c>
    </row>
    <row r="67" customFormat="false" ht="15" hidden="false" customHeight="true" outlineLevel="0" collapsed="false">
      <c r="A67" s="25" t="str">
        <f aca="false">IF(62&lt;=$B$3,62,"")</f>
        <v/>
      </c>
      <c r="B67" s="26" t="str">
        <f aca="false">IF($A67="","",INDEX('Data Input'!$C$6:$C$143,MATCH($A67,'Data Input'!$S$6:$S$143,0)))</f>
        <v/>
      </c>
      <c r="C67" s="27" t="str">
        <f aca="false">IF($A67="","",INDEX('Data Input'!$D$6:$D$143,MATCH($A67,'Data Input'!$S$6:$S$143,0)))</f>
        <v/>
      </c>
      <c r="D67" s="28" t="str">
        <f aca="false">IF($A67="","",INDEX('Data Input'!$L$6:$L$143,MATCH($A67,'Data Input'!$S$6:$S$143,0)))</f>
        <v/>
      </c>
      <c r="E67" s="26" t="str">
        <f aca="false">IF($A67="","",IF(D67&gt;5,"Severe",IF(D67&gt;3,"Moderate","Minor")))</f>
        <v/>
      </c>
      <c r="F67" s="26" t="str">
        <f aca="false">IF($A67="","",INDEX('Data Input'!$F$6:$F$143,MATCH($A67,'Data Input'!$S$6:$S$143,0)))</f>
        <v/>
      </c>
      <c r="G67" s="26" t="str">
        <f aca="false">IF($A67="","",INDEX('Data Input'!$H$6:$H$143,MATCH($A67,'Data Input'!$S$6:$S$143,0)))</f>
        <v/>
      </c>
      <c r="H67" s="29" t="str">
        <f aca="false">IF($A67="","",INDEX('Data Input'!$I$6:$I$143,MATCH($A67,'Data Input'!$S$6:$S$143,0)))</f>
        <v/>
      </c>
      <c r="I67" s="30" t="str">
        <f aca="false">IF($A67="","",INDEX('Data Input'!$M$6:$M$143,MATCH($A67,'Data Input'!$S$6:$S$143,0)))</f>
        <v/>
      </c>
      <c r="J67" s="26" t="str">
        <f aca="false">IF($A67="","",IFERROR(IF(INDEX('Data Input'!$Q$6:$Q$143,MATCH($A67,'Data Input'!$S$6:$S$143,0))="","",INDEX('Data Input'!$Q$6:$Q$143,MATCH($A67,'Data Input'!$S$6:$S$143,0))),""))</f>
        <v/>
      </c>
      <c r="K67" s="26" t="str">
        <f aca="false">IF($A67="","",IFERROR(IF(INDEX('Data Input'!$R$6:$R$143,MATCH($A67,'Data Input'!$S$6:$S$143,0))="","",INDEX('Data Input'!$R$6:$R$143,MATCH($A67,'Data Input'!$S$6:$S$143,0))),""))</f>
        <v/>
      </c>
    </row>
    <row r="68" customFormat="false" ht="15" hidden="false" customHeight="true" outlineLevel="0" collapsed="false">
      <c r="A68" s="25" t="str">
        <f aca="false">IF(63&lt;=$B$3,63,"")</f>
        <v/>
      </c>
      <c r="B68" s="26" t="str">
        <f aca="false">IF($A68="","",INDEX('Data Input'!$C$6:$C$143,MATCH($A68,'Data Input'!$S$6:$S$143,0)))</f>
        <v/>
      </c>
      <c r="C68" s="27" t="str">
        <f aca="false">IF($A68="","",INDEX('Data Input'!$D$6:$D$143,MATCH($A68,'Data Input'!$S$6:$S$143,0)))</f>
        <v/>
      </c>
      <c r="D68" s="28" t="str">
        <f aca="false">IF($A68="","",INDEX('Data Input'!$L$6:$L$143,MATCH($A68,'Data Input'!$S$6:$S$143,0)))</f>
        <v/>
      </c>
      <c r="E68" s="26" t="str">
        <f aca="false">IF($A68="","",IF(D68&gt;5,"Severe",IF(D68&gt;3,"Moderate","Minor")))</f>
        <v/>
      </c>
      <c r="F68" s="26" t="str">
        <f aca="false">IF($A68="","",INDEX('Data Input'!$F$6:$F$143,MATCH($A68,'Data Input'!$S$6:$S$143,0)))</f>
        <v/>
      </c>
      <c r="G68" s="26" t="str">
        <f aca="false">IF($A68="","",INDEX('Data Input'!$H$6:$H$143,MATCH($A68,'Data Input'!$S$6:$S$143,0)))</f>
        <v/>
      </c>
      <c r="H68" s="29" t="str">
        <f aca="false">IF($A68="","",INDEX('Data Input'!$I$6:$I$143,MATCH($A68,'Data Input'!$S$6:$S$143,0)))</f>
        <v/>
      </c>
      <c r="I68" s="30" t="str">
        <f aca="false">IF($A68="","",INDEX('Data Input'!$M$6:$M$143,MATCH($A68,'Data Input'!$S$6:$S$143,0)))</f>
        <v/>
      </c>
      <c r="J68" s="26" t="str">
        <f aca="false">IF($A68="","",IFERROR(IF(INDEX('Data Input'!$Q$6:$Q$143,MATCH($A68,'Data Input'!$S$6:$S$143,0))="","",INDEX('Data Input'!$Q$6:$Q$143,MATCH($A68,'Data Input'!$S$6:$S$143,0))),""))</f>
        <v/>
      </c>
      <c r="K68" s="26" t="str">
        <f aca="false">IF($A68="","",IFERROR(IF(INDEX('Data Input'!$R$6:$R$143,MATCH($A68,'Data Input'!$S$6:$S$143,0))="","",INDEX('Data Input'!$R$6:$R$143,MATCH($A68,'Data Input'!$S$6:$S$143,0))),""))</f>
        <v/>
      </c>
    </row>
    <row r="69" customFormat="false" ht="15" hidden="false" customHeight="true" outlineLevel="0" collapsed="false">
      <c r="A69" s="25" t="str">
        <f aca="false">IF(64&lt;=$B$3,64,"")</f>
        <v/>
      </c>
      <c r="B69" s="26" t="str">
        <f aca="false">IF($A69="","",INDEX('Data Input'!$C$6:$C$143,MATCH($A69,'Data Input'!$S$6:$S$143,0)))</f>
        <v/>
      </c>
      <c r="C69" s="27" t="str">
        <f aca="false">IF($A69="","",INDEX('Data Input'!$D$6:$D$143,MATCH($A69,'Data Input'!$S$6:$S$143,0)))</f>
        <v/>
      </c>
      <c r="D69" s="28" t="str">
        <f aca="false">IF($A69="","",INDEX('Data Input'!$L$6:$L$143,MATCH($A69,'Data Input'!$S$6:$S$143,0)))</f>
        <v/>
      </c>
      <c r="E69" s="26" t="str">
        <f aca="false">IF($A69="","",IF(D69&gt;5,"Severe",IF(D69&gt;3,"Moderate","Minor")))</f>
        <v/>
      </c>
      <c r="F69" s="26" t="str">
        <f aca="false">IF($A69="","",INDEX('Data Input'!$F$6:$F$143,MATCH($A69,'Data Input'!$S$6:$S$143,0)))</f>
        <v/>
      </c>
      <c r="G69" s="26" t="str">
        <f aca="false">IF($A69="","",INDEX('Data Input'!$H$6:$H$143,MATCH($A69,'Data Input'!$S$6:$S$143,0)))</f>
        <v/>
      </c>
      <c r="H69" s="29" t="str">
        <f aca="false">IF($A69="","",INDEX('Data Input'!$I$6:$I$143,MATCH($A69,'Data Input'!$S$6:$S$143,0)))</f>
        <v/>
      </c>
      <c r="I69" s="30" t="str">
        <f aca="false">IF($A69="","",INDEX('Data Input'!$M$6:$M$143,MATCH($A69,'Data Input'!$S$6:$S$143,0)))</f>
        <v/>
      </c>
      <c r="J69" s="26" t="str">
        <f aca="false">IF($A69="","",IFERROR(IF(INDEX('Data Input'!$Q$6:$Q$143,MATCH($A69,'Data Input'!$S$6:$S$143,0))="","",INDEX('Data Input'!$Q$6:$Q$143,MATCH($A69,'Data Input'!$S$6:$S$143,0))),""))</f>
        <v/>
      </c>
      <c r="K69" s="26" t="str">
        <f aca="false">IF($A69="","",IFERROR(IF(INDEX('Data Input'!$R$6:$R$143,MATCH($A69,'Data Input'!$S$6:$S$143,0))="","",INDEX('Data Input'!$R$6:$R$143,MATCH($A69,'Data Input'!$S$6:$S$143,0))),""))</f>
        <v/>
      </c>
    </row>
    <row r="70" customFormat="false" ht="15" hidden="false" customHeight="true" outlineLevel="0" collapsed="false">
      <c r="A70" s="25" t="str">
        <f aca="false">IF(65&lt;=$B$3,65,"")</f>
        <v/>
      </c>
      <c r="B70" s="26" t="str">
        <f aca="false">IF($A70="","",INDEX('Data Input'!$C$6:$C$143,MATCH($A70,'Data Input'!$S$6:$S$143,0)))</f>
        <v/>
      </c>
      <c r="C70" s="27" t="str">
        <f aca="false">IF($A70="","",INDEX('Data Input'!$D$6:$D$143,MATCH($A70,'Data Input'!$S$6:$S$143,0)))</f>
        <v/>
      </c>
      <c r="D70" s="28" t="str">
        <f aca="false">IF($A70="","",INDEX('Data Input'!$L$6:$L$143,MATCH($A70,'Data Input'!$S$6:$S$143,0)))</f>
        <v/>
      </c>
      <c r="E70" s="26" t="str">
        <f aca="false">IF($A70="","",IF(D70&gt;5,"Severe",IF(D70&gt;3,"Moderate","Minor")))</f>
        <v/>
      </c>
      <c r="F70" s="26" t="str">
        <f aca="false">IF($A70="","",INDEX('Data Input'!$F$6:$F$143,MATCH($A70,'Data Input'!$S$6:$S$143,0)))</f>
        <v/>
      </c>
      <c r="G70" s="26" t="str">
        <f aca="false">IF($A70="","",INDEX('Data Input'!$H$6:$H$143,MATCH($A70,'Data Input'!$S$6:$S$143,0)))</f>
        <v/>
      </c>
      <c r="H70" s="29" t="str">
        <f aca="false">IF($A70="","",INDEX('Data Input'!$I$6:$I$143,MATCH($A70,'Data Input'!$S$6:$S$143,0)))</f>
        <v/>
      </c>
      <c r="I70" s="30" t="str">
        <f aca="false">IF($A70="","",INDEX('Data Input'!$M$6:$M$143,MATCH($A70,'Data Input'!$S$6:$S$143,0)))</f>
        <v/>
      </c>
      <c r="J70" s="26" t="str">
        <f aca="false">IF($A70="","",IFERROR(IF(INDEX('Data Input'!$Q$6:$Q$143,MATCH($A70,'Data Input'!$S$6:$S$143,0))="","",INDEX('Data Input'!$Q$6:$Q$143,MATCH($A70,'Data Input'!$S$6:$S$143,0))),""))</f>
        <v/>
      </c>
      <c r="K70" s="26" t="str">
        <f aca="false">IF($A70="","",IFERROR(IF(INDEX('Data Input'!$R$6:$R$143,MATCH($A70,'Data Input'!$S$6:$S$143,0))="","",INDEX('Data Input'!$R$6:$R$143,MATCH($A70,'Data Input'!$S$6:$S$143,0))),""))</f>
        <v/>
      </c>
    </row>
    <row r="71" customFormat="false" ht="15" hidden="false" customHeight="true" outlineLevel="0" collapsed="false">
      <c r="A71" s="25" t="str">
        <f aca="false">IF(66&lt;=$B$3,66,"")</f>
        <v/>
      </c>
      <c r="B71" s="26" t="str">
        <f aca="false">IF($A71="","",INDEX('Data Input'!$C$6:$C$143,MATCH($A71,'Data Input'!$S$6:$S$143,0)))</f>
        <v/>
      </c>
      <c r="C71" s="27" t="str">
        <f aca="false">IF($A71="","",INDEX('Data Input'!$D$6:$D$143,MATCH($A71,'Data Input'!$S$6:$S$143,0)))</f>
        <v/>
      </c>
      <c r="D71" s="28" t="str">
        <f aca="false">IF($A71="","",INDEX('Data Input'!$L$6:$L$143,MATCH($A71,'Data Input'!$S$6:$S$143,0)))</f>
        <v/>
      </c>
      <c r="E71" s="26" t="str">
        <f aca="false">IF($A71="","",IF(D71&gt;5,"Severe",IF(D71&gt;3,"Moderate","Minor")))</f>
        <v/>
      </c>
      <c r="F71" s="26" t="str">
        <f aca="false">IF($A71="","",INDEX('Data Input'!$F$6:$F$143,MATCH($A71,'Data Input'!$S$6:$S$143,0)))</f>
        <v/>
      </c>
      <c r="G71" s="26" t="str">
        <f aca="false">IF($A71="","",INDEX('Data Input'!$H$6:$H$143,MATCH($A71,'Data Input'!$S$6:$S$143,0)))</f>
        <v/>
      </c>
      <c r="H71" s="29" t="str">
        <f aca="false">IF($A71="","",INDEX('Data Input'!$I$6:$I$143,MATCH($A71,'Data Input'!$S$6:$S$143,0)))</f>
        <v/>
      </c>
      <c r="I71" s="30" t="str">
        <f aca="false">IF($A71="","",INDEX('Data Input'!$M$6:$M$143,MATCH($A71,'Data Input'!$S$6:$S$143,0)))</f>
        <v/>
      </c>
      <c r="J71" s="26" t="str">
        <f aca="false">IF($A71="","",IFERROR(IF(INDEX('Data Input'!$Q$6:$Q$143,MATCH($A71,'Data Input'!$S$6:$S$143,0))="","",INDEX('Data Input'!$Q$6:$Q$143,MATCH($A71,'Data Input'!$S$6:$S$143,0))),""))</f>
        <v/>
      </c>
      <c r="K71" s="26" t="str">
        <f aca="false">IF($A71="","",IFERROR(IF(INDEX('Data Input'!$R$6:$R$143,MATCH($A71,'Data Input'!$S$6:$S$143,0))="","",INDEX('Data Input'!$R$6:$R$143,MATCH($A71,'Data Input'!$S$6:$S$143,0))),""))</f>
        <v/>
      </c>
    </row>
    <row r="72" customFormat="false" ht="15" hidden="false" customHeight="true" outlineLevel="0" collapsed="false">
      <c r="A72" s="25" t="str">
        <f aca="false">IF(67&lt;=$B$3,67,"")</f>
        <v/>
      </c>
      <c r="B72" s="26" t="str">
        <f aca="false">IF($A72="","",INDEX('Data Input'!$C$6:$C$143,MATCH($A72,'Data Input'!$S$6:$S$143,0)))</f>
        <v/>
      </c>
      <c r="C72" s="27" t="str">
        <f aca="false">IF($A72="","",INDEX('Data Input'!$D$6:$D$143,MATCH($A72,'Data Input'!$S$6:$S$143,0)))</f>
        <v/>
      </c>
      <c r="D72" s="28" t="str">
        <f aca="false">IF($A72="","",INDEX('Data Input'!$L$6:$L$143,MATCH($A72,'Data Input'!$S$6:$S$143,0)))</f>
        <v/>
      </c>
      <c r="E72" s="26" t="str">
        <f aca="false">IF($A72="","",IF(D72&gt;5,"Severe",IF(D72&gt;3,"Moderate","Minor")))</f>
        <v/>
      </c>
      <c r="F72" s="26" t="str">
        <f aca="false">IF($A72="","",INDEX('Data Input'!$F$6:$F$143,MATCH($A72,'Data Input'!$S$6:$S$143,0)))</f>
        <v/>
      </c>
      <c r="G72" s="26" t="str">
        <f aca="false">IF($A72="","",INDEX('Data Input'!$H$6:$H$143,MATCH($A72,'Data Input'!$S$6:$S$143,0)))</f>
        <v/>
      </c>
      <c r="H72" s="29" t="str">
        <f aca="false">IF($A72="","",INDEX('Data Input'!$I$6:$I$143,MATCH($A72,'Data Input'!$S$6:$S$143,0)))</f>
        <v/>
      </c>
      <c r="I72" s="30" t="str">
        <f aca="false">IF($A72="","",INDEX('Data Input'!$M$6:$M$143,MATCH($A72,'Data Input'!$S$6:$S$143,0)))</f>
        <v/>
      </c>
      <c r="J72" s="26" t="str">
        <f aca="false">IF($A72="","",IFERROR(IF(INDEX('Data Input'!$Q$6:$Q$143,MATCH($A72,'Data Input'!$S$6:$S$143,0))="","",INDEX('Data Input'!$Q$6:$Q$143,MATCH($A72,'Data Input'!$S$6:$S$143,0))),""))</f>
        <v/>
      </c>
      <c r="K72" s="26" t="str">
        <f aca="false">IF($A72="","",IFERROR(IF(INDEX('Data Input'!$R$6:$R$143,MATCH($A72,'Data Input'!$S$6:$S$143,0))="","",INDEX('Data Input'!$R$6:$R$143,MATCH($A72,'Data Input'!$S$6:$S$143,0))),""))</f>
        <v/>
      </c>
    </row>
    <row r="73" customFormat="false" ht="15" hidden="false" customHeight="true" outlineLevel="0" collapsed="false">
      <c r="A73" s="25" t="str">
        <f aca="false">IF(68&lt;=$B$3,68,"")</f>
        <v/>
      </c>
      <c r="B73" s="26" t="str">
        <f aca="false">IF($A73="","",INDEX('Data Input'!$C$6:$C$143,MATCH($A73,'Data Input'!$S$6:$S$143,0)))</f>
        <v/>
      </c>
      <c r="C73" s="27" t="str">
        <f aca="false">IF($A73="","",INDEX('Data Input'!$D$6:$D$143,MATCH($A73,'Data Input'!$S$6:$S$143,0)))</f>
        <v/>
      </c>
      <c r="D73" s="28" t="str">
        <f aca="false">IF($A73="","",INDEX('Data Input'!$L$6:$L$143,MATCH($A73,'Data Input'!$S$6:$S$143,0)))</f>
        <v/>
      </c>
      <c r="E73" s="26" t="str">
        <f aca="false">IF($A73="","",IF(D73&gt;5,"Severe",IF(D73&gt;3,"Moderate","Minor")))</f>
        <v/>
      </c>
      <c r="F73" s="26" t="str">
        <f aca="false">IF($A73="","",INDEX('Data Input'!$F$6:$F$143,MATCH($A73,'Data Input'!$S$6:$S$143,0)))</f>
        <v/>
      </c>
      <c r="G73" s="26" t="str">
        <f aca="false">IF($A73="","",INDEX('Data Input'!$H$6:$H$143,MATCH($A73,'Data Input'!$S$6:$S$143,0)))</f>
        <v/>
      </c>
      <c r="H73" s="29" t="str">
        <f aca="false">IF($A73="","",INDEX('Data Input'!$I$6:$I$143,MATCH($A73,'Data Input'!$S$6:$S$143,0)))</f>
        <v/>
      </c>
      <c r="I73" s="30" t="str">
        <f aca="false">IF($A73="","",INDEX('Data Input'!$M$6:$M$143,MATCH($A73,'Data Input'!$S$6:$S$143,0)))</f>
        <v/>
      </c>
      <c r="J73" s="26" t="str">
        <f aca="false">IF($A73="","",IFERROR(IF(INDEX('Data Input'!$Q$6:$Q$143,MATCH($A73,'Data Input'!$S$6:$S$143,0))="","",INDEX('Data Input'!$Q$6:$Q$143,MATCH($A73,'Data Input'!$S$6:$S$143,0))),""))</f>
        <v/>
      </c>
      <c r="K73" s="26" t="str">
        <f aca="false">IF($A73="","",IFERROR(IF(INDEX('Data Input'!$R$6:$R$143,MATCH($A73,'Data Input'!$S$6:$S$143,0))="","",INDEX('Data Input'!$R$6:$R$143,MATCH($A73,'Data Input'!$S$6:$S$143,0))),""))</f>
        <v/>
      </c>
    </row>
    <row r="74" customFormat="false" ht="15" hidden="false" customHeight="true" outlineLevel="0" collapsed="false">
      <c r="A74" s="25" t="str">
        <f aca="false">IF(69&lt;=$B$3,69,"")</f>
        <v/>
      </c>
      <c r="B74" s="26" t="str">
        <f aca="false">IF($A74="","",INDEX('Data Input'!$C$6:$C$143,MATCH($A74,'Data Input'!$S$6:$S$143,0)))</f>
        <v/>
      </c>
      <c r="C74" s="27" t="str">
        <f aca="false">IF($A74="","",INDEX('Data Input'!$D$6:$D$143,MATCH($A74,'Data Input'!$S$6:$S$143,0)))</f>
        <v/>
      </c>
      <c r="D74" s="28" t="str">
        <f aca="false">IF($A74="","",INDEX('Data Input'!$L$6:$L$143,MATCH($A74,'Data Input'!$S$6:$S$143,0)))</f>
        <v/>
      </c>
      <c r="E74" s="26" t="str">
        <f aca="false">IF($A74="","",IF(D74&gt;5,"Severe",IF(D74&gt;3,"Moderate","Minor")))</f>
        <v/>
      </c>
      <c r="F74" s="26" t="str">
        <f aca="false">IF($A74="","",INDEX('Data Input'!$F$6:$F$143,MATCH($A74,'Data Input'!$S$6:$S$143,0)))</f>
        <v/>
      </c>
      <c r="G74" s="26" t="str">
        <f aca="false">IF($A74="","",INDEX('Data Input'!$H$6:$H$143,MATCH($A74,'Data Input'!$S$6:$S$143,0)))</f>
        <v/>
      </c>
      <c r="H74" s="29" t="str">
        <f aca="false">IF($A74="","",INDEX('Data Input'!$I$6:$I$143,MATCH($A74,'Data Input'!$S$6:$S$143,0)))</f>
        <v/>
      </c>
      <c r="I74" s="30" t="str">
        <f aca="false">IF($A74="","",INDEX('Data Input'!$M$6:$M$143,MATCH($A74,'Data Input'!$S$6:$S$143,0)))</f>
        <v/>
      </c>
      <c r="J74" s="26" t="str">
        <f aca="false">IF($A74="","",IFERROR(IF(INDEX('Data Input'!$Q$6:$Q$143,MATCH($A74,'Data Input'!$S$6:$S$143,0))="","",INDEX('Data Input'!$Q$6:$Q$143,MATCH($A74,'Data Input'!$S$6:$S$143,0))),""))</f>
        <v/>
      </c>
      <c r="K74" s="26" t="str">
        <f aca="false">IF($A74="","",IFERROR(IF(INDEX('Data Input'!$R$6:$R$143,MATCH($A74,'Data Input'!$S$6:$S$143,0))="","",INDEX('Data Input'!$R$6:$R$143,MATCH($A74,'Data Input'!$S$6:$S$143,0))),""))</f>
        <v/>
      </c>
    </row>
    <row r="75" customFormat="false" ht="15" hidden="false" customHeight="true" outlineLevel="0" collapsed="false">
      <c r="A75" s="25" t="str">
        <f aca="false">IF(70&lt;=$B$3,70,"")</f>
        <v/>
      </c>
      <c r="B75" s="26" t="str">
        <f aca="false">IF($A75="","",INDEX('Data Input'!$C$6:$C$143,MATCH($A75,'Data Input'!$S$6:$S$143,0)))</f>
        <v/>
      </c>
      <c r="C75" s="27" t="str">
        <f aca="false">IF($A75="","",INDEX('Data Input'!$D$6:$D$143,MATCH($A75,'Data Input'!$S$6:$S$143,0)))</f>
        <v/>
      </c>
      <c r="D75" s="28" t="str">
        <f aca="false">IF($A75="","",INDEX('Data Input'!$L$6:$L$143,MATCH($A75,'Data Input'!$S$6:$S$143,0)))</f>
        <v/>
      </c>
      <c r="E75" s="26" t="str">
        <f aca="false">IF($A75="","",IF(D75&gt;5,"Severe",IF(D75&gt;3,"Moderate","Minor")))</f>
        <v/>
      </c>
      <c r="F75" s="26" t="str">
        <f aca="false">IF($A75="","",INDEX('Data Input'!$F$6:$F$143,MATCH($A75,'Data Input'!$S$6:$S$143,0)))</f>
        <v/>
      </c>
      <c r="G75" s="26" t="str">
        <f aca="false">IF($A75="","",INDEX('Data Input'!$H$6:$H$143,MATCH($A75,'Data Input'!$S$6:$S$143,0)))</f>
        <v/>
      </c>
      <c r="H75" s="29" t="str">
        <f aca="false">IF($A75="","",INDEX('Data Input'!$I$6:$I$143,MATCH($A75,'Data Input'!$S$6:$S$143,0)))</f>
        <v/>
      </c>
      <c r="I75" s="30" t="str">
        <f aca="false">IF($A75="","",INDEX('Data Input'!$M$6:$M$143,MATCH($A75,'Data Input'!$S$6:$S$143,0)))</f>
        <v/>
      </c>
      <c r="J75" s="26" t="str">
        <f aca="false">IF($A75="","",IFERROR(IF(INDEX('Data Input'!$Q$6:$Q$143,MATCH($A75,'Data Input'!$S$6:$S$143,0))="","",INDEX('Data Input'!$Q$6:$Q$143,MATCH($A75,'Data Input'!$S$6:$S$143,0))),""))</f>
        <v/>
      </c>
      <c r="K75" s="26" t="str">
        <f aca="false">IF($A75="","",IFERROR(IF(INDEX('Data Input'!$R$6:$R$143,MATCH($A75,'Data Input'!$S$6:$S$143,0))="","",INDEX('Data Input'!$R$6:$R$143,MATCH($A75,'Data Input'!$S$6:$S$143,0))),""))</f>
        <v/>
      </c>
    </row>
    <row r="76" customFormat="false" ht="15" hidden="false" customHeight="true" outlineLevel="0" collapsed="false">
      <c r="A76" s="25" t="str">
        <f aca="false">IF(71&lt;=$B$3,71,"")</f>
        <v/>
      </c>
      <c r="B76" s="26" t="str">
        <f aca="false">IF($A76="","",INDEX('Data Input'!$C$6:$C$143,MATCH($A76,'Data Input'!$S$6:$S$143,0)))</f>
        <v/>
      </c>
      <c r="C76" s="27" t="str">
        <f aca="false">IF($A76="","",INDEX('Data Input'!$D$6:$D$143,MATCH($A76,'Data Input'!$S$6:$S$143,0)))</f>
        <v/>
      </c>
      <c r="D76" s="28" t="str">
        <f aca="false">IF($A76="","",INDEX('Data Input'!$L$6:$L$143,MATCH($A76,'Data Input'!$S$6:$S$143,0)))</f>
        <v/>
      </c>
      <c r="E76" s="26" t="str">
        <f aca="false">IF($A76="","",IF(D76&gt;5,"Severe",IF(D76&gt;3,"Moderate","Minor")))</f>
        <v/>
      </c>
      <c r="F76" s="26" t="str">
        <f aca="false">IF($A76="","",INDEX('Data Input'!$F$6:$F$143,MATCH($A76,'Data Input'!$S$6:$S$143,0)))</f>
        <v/>
      </c>
      <c r="G76" s="26" t="str">
        <f aca="false">IF($A76="","",INDEX('Data Input'!$H$6:$H$143,MATCH($A76,'Data Input'!$S$6:$S$143,0)))</f>
        <v/>
      </c>
      <c r="H76" s="29" t="str">
        <f aca="false">IF($A76="","",INDEX('Data Input'!$I$6:$I$143,MATCH($A76,'Data Input'!$S$6:$S$143,0)))</f>
        <v/>
      </c>
      <c r="I76" s="30" t="str">
        <f aca="false">IF($A76="","",INDEX('Data Input'!$M$6:$M$143,MATCH($A76,'Data Input'!$S$6:$S$143,0)))</f>
        <v/>
      </c>
      <c r="J76" s="26" t="str">
        <f aca="false">IF($A76="","",IFERROR(IF(INDEX('Data Input'!$Q$6:$Q$143,MATCH($A76,'Data Input'!$S$6:$S$143,0))="","",INDEX('Data Input'!$Q$6:$Q$143,MATCH($A76,'Data Input'!$S$6:$S$143,0))),""))</f>
        <v/>
      </c>
      <c r="K76" s="26" t="str">
        <f aca="false">IF($A76="","",IFERROR(IF(INDEX('Data Input'!$R$6:$R$143,MATCH($A76,'Data Input'!$S$6:$S$143,0))="","",INDEX('Data Input'!$R$6:$R$143,MATCH($A76,'Data Input'!$S$6:$S$143,0))),""))</f>
        <v/>
      </c>
    </row>
    <row r="77" customFormat="false" ht="15" hidden="false" customHeight="true" outlineLevel="0" collapsed="false">
      <c r="A77" s="25" t="str">
        <f aca="false">IF(72&lt;=$B$3,72,"")</f>
        <v/>
      </c>
      <c r="B77" s="26" t="str">
        <f aca="false">IF($A77="","",INDEX('Data Input'!$C$6:$C$143,MATCH($A77,'Data Input'!$S$6:$S$143,0)))</f>
        <v/>
      </c>
      <c r="C77" s="27" t="str">
        <f aca="false">IF($A77="","",INDEX('Data Input'!$D$6:$D$143,MATCH($A77,'Data Input'!$S$6:$S$143,0)))</f>
        <v/>
      </c>
      <c r="D77" s="28" t="str">
        <f aca="false">IF($A77="","",INDEX('Data Input'!$L$6:$L$143,MATCH($A77,'Data Input'!$S$6:$S$143,0)))</f>
        <v/>
      </c>
      <c r="E77" s="26" t="str">
        <f aca="false">IF($A77="","",IF(D77&gt;5,"Severe",IF(D77&gt;3,"Moderate","Minor")))</f>
        <v/>
      </c>
      <c r="F77" s="26" t="str">
        <f aca="false">IF($A77="","",INDEX('Data Input'!$F$6:$F$143,MATCH($A77,'Data Input'!$S$6:$S$143,0)))</f>
        <v/>
      </c>
      <c r="G77" s="26" t="str">
        <f aca="false">IF($A77="","",INDEX('Data Input'!$H$6:$H$143,MATCH($A77,'Data Input'!$S$6:$S$143,0)))</f>
        <v/>
      </c>
      <c r="H77" s="29" t="str">
        <f aca="false">IF($A77="","",INDEX('Data Input'!$I$6:$I$143,MATCH($A77,'Data Input'!$S$6:$S$143,0)))</f>
        <v/>
      </c>
      <c r="I77" s="30" t="str">
        <f aca="false">IF($A77="","",INDEX('Data Input'!$M$6:$M$143,MATCH($A77,'Data Input'!$S$6:$S$143,0)))</f>
        <v/>
      </c>
      <c r="J77" s="26" t="str">
        <f aca="false">IF($A77="","",IFERROR(IF(INDEX('Data Input'!$Q$6:$Q$143,MATCH($A77,'Data Input'!$S$6:$S$143,0))="","",INDEX('Data Input'!$Q$6:$Q$143,MATCH($A77,'Data Input'!$S$6:$S$143,0))),""))</f>
        <v/>
      </c>
      <c r="K77" s="26" t="str">
        <f aca="false">IF($A77="","",IFERROR(IF(INDEX('Data Input'!$R$6:$R$143,MATCH($A77,'Data Input'!$S$6:$S$143,0))="","",INDEX('Data Input'!$R$6:$R$143,MATCH($A77,'Data Input'!$S$6:$S$143,0))),""))</f>
        <v/>
      </c>
    </row>
    <row r="78" customFormat="false" ht="15" hidden="false" customHeight="true" outlineLevel="0" collapsed="false">
      <c r="A78" s="25" t="str">
        <f aca="false">IF(73&lt;=$B$3,73,"")</f>
        <v/>
      </c>
      <c r="B78" s="26" t="str">
        <f aca="false">IF($A78="","",INDEX('Data Input'!$C$6:$C$143,MATCH($A78,'Data Input'!$S$6:$S$143,0)))</f>
        <v/>
      </c>
      <c r="C78" s="27" t="str">
        <f aca="false">IF($A78="","",INDEX('Data Input'!$D$6:$D$143,MATCH($A78,'Data Input'!$S$6:$S$143,0)))</f>
        <v/>
      </c>
      <c r="D78" s="28" t="str">
        <f aca="false">IF($A78="","",INDEX('Data Input'!$L$6:$L$143,MATCH($A78,'Data Input'!$S$6:$S$143,0)))</f>
        <v/>
      </c>
      <c r="E78" s="26" t="str">
        <f aca="false">IF($A78="","",IF(D78&gt;5,"Severe",IF(D78&gt;3,"Moderate","Minor")))</f>
        <v/>
      </c>
      <c r="F78" s="26" t="str">
        <f aca="false">IF($A78="","",INDEX('Data Input'!$F$6:$F$143,MATCH($A78,'Data Input'!$S$6:$S$143,0)))</f>
        <v/>
      </c>
      <c r="G78" s="26" t="str">
        <f aca="false">IF($A78="","",INDEX('Data Input'!$H$6:$H$143,MATCH($A78,'Data Input'!$S$6:$S$143,0)))</f>
        <v/>
      </c>
      <c r="H78" s="29" t="str">
        <f aca="false">IF($A78="","",INDEX('Data Input'!$I$6:$I$143,MATCH($A78,'Data Input'!$S$6:$S$143,0)))</f>
        <v/>
      </c>
      <c r="I78" s="30" t="str">
        <f aca="false">IF($A78="","",INDEX('Data Input'!$M$6:$M$143,MATCH($A78,'Data Input'!$S$6:$S$143,0)))</f>
        <v/>
      </c>
      <c r="J78" s="26" t="str">
        <f aca="false">IF($A78="","",IFERROR(IF(INDEX('Data Input'!$Q$6:$Q$143,MATCH($A78,'Data Input'!$S$6:$S$143,0))="","",INDEX('Data Input'!$Q$6:$Q$143,MATCH($A78,'Data Input'!$S$6:$S$143,0))),""))</f>
        <v/>
      </c>
      <c r="K78" s="26" t="str">
        <f aca="false">IF($A78="","",IFERROR(IF(INDEX('Data Input'!$R$6:$R$143,MATCH($A78,'Data Input'!$S$6:$S$143,0))="","",INDEX('Data Input'!$R$6:$R$143,MATCH($A78,'Data Input'!$S$6:$S$143,0))),""))</f>
        <v/>
      </c>
    </row>
    <row r="79" customFormat="false" ht="15" hidden="false" customHeight="true" outlineLevel="0" collapsed="false">
      <c r="A79" s="25" t="str">
        <f aca="false">IF(74&lt;=$B$3,74,"")</f>
        <v/>
      </c>
      <c r="B79" s="26" t="str">
        <f aca="false">IF($A79="","",INDEX('Data Input'!$C$6:$C$143,MATCH($A79,'Data Input'!$S$6:$S$143,0)))</f>
        <v/>
      </c>
      <c r="C79" s="27" t="str">
        <f aca="false">IF($A79="","",INDEX('Data Input'!$D$6:$D$143,MATCH($A79,'Data Input'!$S$6:$S$143,0)))</f>
        <v/>
      </c>
      <c r="D79" s="28" t="str">
        <f aca="false">IF($A79="","",INDEX('Data Input'!$L$6:$L$143,MATCH($A79,'Data Input'!$S$6:$S$143,0)))</f>
        <v/>
      </c>
      <c r="E79" s="26" t="str">
        <f aca="false">IF($A79="","",IF(D79&gt;5,"Severe",IF(D79&gt;3,"Moderate","Minor")))</f>
        <v/>
      </c>
      <c r="F79" s="26" t="str">
        <f aca="false">IF($A79="","",INDEX('Data Input'!$F$6:$F$143,MATCH($A79,'Data Input'!$S$6:$S$143,0)))</f>
        <v/>
      </c>
      <c r="G79" s="26" t="str">
        <f aca="false">IF($A79="","",INDEX('Data Input'!$H$6:$H$143,MATCH($A79,'Data Input'!$S$6:$S$143,0)))</f>
        <v/>
      </c>
      <c r="H79" s="29" t="str">
        <f aca="false">IF($A79="","",INDEX('Data Input'!$I$6:$I$143,MATCH($A79,'Data Input'!$S$6:$S$143,0)))</f>
        <v/>
      </c>
      <c r="I79" s="30" t="str">
        <f aca="false">IF($A79="","",INDEX('Data Input'!$M$6:$M$143,MATCH($A79,'Data Input'!$S$6:$S$143,0)))</f>
        <v/>
      </c>
      <c r="J79" s="26" t="str">
        <f aca="false">IF($A79="","",IFERROR(IF(INDEX('Data Input'!$Q$6:$Q$143,MATCH($A79,'Data Input'!$S$6:$S$143,0))="","",INDEX('Data Input'!$Q$6:$Q$143,MATCH($A79,'Data Input'!$S$6:$S$143,0))),""))</f>
        <v/>
      </c>
      <c r="K79" s="26" t="str">
        <f aca="false">IF($A79="","",IFERROR(IF(INDEX('Data Input'!$R$6:$R$143,MATCH($A79,'Data Input'!$S$6:$S$143,0))="","",INDEX('Data Input'!$R$6:$R$143,MATCH($A79,'Data Input'!$S$6:$S$143,0))),""))</f>
        <v/>
      </c>
    </row>
    <row r="80" customFormat="false" ht="15" hidden="false" customHeight="true" outlineLevel="0" collapsed="false">
      <c r="A80" s="25" t="str">
        <f aca="false">IF(75&lt;=$B$3,75,"")</f>
        <v/>
      </c>
      <c r="B80" s="26" t="str">
        <f aca="false">IF($A80="","",INDEX('Data Input'!$C$6:$C$143,MATCH($A80,'Data Input'!$S$6:$S$143,0)))</f>
        <v/>
      </c>
      <c r="C80" s="27" t="str">
        <f aca="false">IF($A80="","",INDEX('Data Input'!$D$6:$D$143,MATCH($A80,'Data Input'!$S$6:$S$143,0)))</f>
        <v/>
      </c>
      <c r="D80" s="28" t="str">
        <f aca="false">IF($A80="","",INDEX('Data Input'!$L$6:$L$143,MATCH($A80,'Data Input'!$S$6:$S$143,0)))</f>
        <v/>
      </c>
      <c r="E80" s="26" t="str">
        <f aca="false">IF($A80="","",IF(D80&gt;5,"Severe",IF(D80&gt;3,"Moderate","Minor")))</f>
        <v/>
      </c>
      <c r="F80" s="26" t="str">
        <f aca="false">IF($A80="","",INDEX('Data Input'!$F$6:$F$143,MATCH($A80,'Data Input'!$S$6:$S$143,0)))</f>
        <v/>
      </c>
      <c r="G80" s="26" t="str">
        <f aca="false">IF($A80="","",INDEX('Data Input'!$H$6:$H$143,MATCH($A80,'Data Input'!$S$6:$S$143,0)))</f>
        <v/>
      </c>
      <c r="H80" s="29" t="str">
        <f aca="false">IF($A80="","",INDEX('Data Input'!$I$6:$I$143,MATCH($A80,'Data Input'!$S$6:$S$143,0)))</f>
        <v/>
      </c>
      <c r="I80" s="30" t="str">
        <f aca="false">IF($A80="","",INDEX('Data Input'!$M$6:$M$143,MATCH($A80,'Data Input'!$S$6:$S$143,0)))</f>
        <v/>
      </c>
      <c r="J80" s="26" t="str">
        <f aca="false">IF($A80="","",IFERROR(IF(INDEX('Data Input'!$Q$6:$Q$143,MATCH($A80,'Data Input'!$S$6:$S$143,0))="","",INDEX('Data Input'!$Q$6:$Q$143,MATCH($A80,'Data Input'!$S$6:$S$143,0))),""))</f>
        <v/>
      </c>
      <c r="K80" s="26" t="str">
        <f aca="false">IF($A80="","",IFERROR(IF(INDEX('Data Input'!$R$6:$R$143,MATCH($A80,'Data Input'!$S$6:$S$143,0))="","",INDEX('Data Input'!$R$6:$R$143,MATCH($A80,'Data Input'!$S$6:$S$143,0))),""))</f>
        <v/>
      </c>
    </row>
    <row r="81" customFormat="false" ht="15" hidden="false" customHeight="true" outlineLevel="0" collapsed="false">
      <c r="A81" s="25" t="str">
        <f aca="false">IF(76&lt;=$B$3,76,"")</f>
        <v/>
      </c>
      <c r="B81" s="26" t="str">
        <f aca="false">IF($A81="","",INDEX('Data Input'!$C$6:$C$143,MATCH($A81,'Data Input'!$S$6:$S$143,0)))</f>
        <v/>
      </c>
      <c r="C81" s="27" t="str">
        <f aca="false">IF($A81="","",INDEX('Data Input'!$D$6:$D$143,MATCH($A81,'Data Input'!$S$6:$S$143,0)))</f>
        <v/>
      </c>
      <c r="D81" s="28" t="str">
        <f aca="false">IF($A81="","",INDEX('Data Input'!$L$6:$L$143,MATCH($A81,'Data Input'!$S$6:$S$143,0)))</f>
        <v/>
      </c>
      <c r="E81" s="26" t="str">
        <f aca="false">IF($A81="","",IF(D81&gt;5,"Severe",IF(D81&gt;3,"Moderate","Minor")))</f>
        <v/>
      </c>
      <c r="F81" s="26" t="str">
        <f aca="false">IF($A81="","",INDEX('Data Input'!$F$6:$F$143,MATCH($A81,'Data Input'!$S$6:$S$143,0)))</f>
        <v/>
      </c>
      <c r="G81" s="26" t="str">
        <f aca="false">IF($A81="","",INDEX('Data Input'!$H$6:$H$143,MATCH($A81,'Data Input'!$S$6:$S$143,0)))</f>
        <v/>
      </c>
      <c r="H81" s="29" t="str">
        <f aca="false">IF($A81="","",INDEX('Data Input'!$I$6:$I$143,MATCH($A81,'Data Input'!$S$6:$S$143,0)))</f>
        <v/>
      </c>
      <c r="I81" s="30" t="str">
        <f aca="false">IF($A81="","",INDEX('Data Input'!$M$6:$M$143,MATCH($A81,'Data Input'!$S$6:$S$143,0)))</f>
        <v/>
      </c>
      <c r="J81" s="26" t="str">
        <f aca="false">IF($A81="","",IFERROR(IF(INDEX('Data Input'!$Q$6:$Q$143,MATCH($A81,'Data Input'!$S$6:$S$143,0))="","",INDEX('Data Input'!$Q$6:$Q$143,MATCH($A81,'Data Input'!$S$6:$S$143,0))),""))</f>
        <v/>
      </c>
      <c r="K81" s="26" t="str">
        <f aca="false">IF($A81="","",IFERROR(IF(INDEX('Data Input'!$R$6:$R$143,MATCH($A81,'Data Input'!$S$6:$S$143,0))="","",INDEX('Data Input'!$R$6:$R$143,MATCH($A81,'Data Input'!$S$6:$S$143,0))),""))</f>
        <v/>
      </c>
    </row>
    <row r="82" customFormat="false" ht="15" hidden="false" customHeight="true" outlineLevel="0" collapsed="false">
      <c r="A82" s="25" t="str">
        <f aca="false">IF(77&lt;=$B$3,77,"")</f>
        <v/>
      </c>
      <c r="B82" s="26" t="str">
        <f aca="false">IF($A82="","",INDEX('Data Input'!$C$6:$C$143,MATCH($A82,'Data Input'!$S$6:$S$143,0)))</f>
        <v/>
      </c>
      <c r="C82" s="27" t="str">
        <f aca="false">IF($A82="","",INDEX('Data Input'!$D$6:$D$143,MATCH($A82,'Data Input'!$S$6:$S$143,0)))</f>
        <v/>
      </c>
      <c r="D82" s="28" t="str">
        <f aca="false">IF($A82="","",INDEX('Data Input'!$L$6:$L$143,MATCH($A82,'Data Input'!$S$6:$S$143,0)))</f>
        <v/>
      </c>
      <c r="E82" s="26" t="str">
        <f aca="false">IF($A82="","",IF(D82&gt;5,"Severe",IF(D82&gt;3,"Moderate","Minor")))</f>
        <v/>
      </c>
      <c r="F82" s="26" t="str">
        <f aca="false">IF($A82="","",INDEX('Data Input'!$F$6:$F$143,MATCH($A82,'Data Input'!$S$6:$S$143,0)))</f>
        <v/>
      </c>
      <c r="G82" s="26" t="str">
        <f aca="false">IF($A82="","",INDEX('Data Input'!$H$6:$H$143,MATCH($A82,'Data Input'!$S$6:$S$143,0)))</f>
        <v/>
      </c>
      <c r="H82" s="29" t="str">
        <f aca="false">IF($A82="","",INDEX('Data Input'!$I$6:$I$143,MATCH($A82,'Data Input'!$S$6:$S$143,0)))</f>
        <v/>
      </c>
      <c r="I82" s="30" t="str">
        <f aca="false">IF($A82="","",INDEX('Data Input'!$M$6:$M$143,MATCH($A82,'Data Input'!$S$6:$S$143,0)))</f>
        <v/>
      </c>
      <c r="J82" s="26" t="str">
        <f aca="false">IF($A82="","",IFERROR(IF(INDEX('Data Input'!$Q$6:$Q$143,MATCH($A82,'Data Input'!$S$6:$S$143,0))="","",INDEX('Data Input'!$Q$6:$Q$143,MATCH($A82,'Data Input'!$S$6:$S$143,0))),""))</f>
        <v/>
      </c>
      <c r="K82" s="26" t="str">
        <f aca="false">IF($A82="","",IFERROR(IF(INDEX('Data Input'!$R$6:$R$143,MATCH($A82,'Data Input'!$S$6:$S$143,0))="","",INDEX('Data Input'!$R$6:$R$143,MATCH($A82,'Data Input'!$S$6:$S$143,0))),""))</f>
        <v/>
      </c>
    </row>
    <row r="83" customFormat="false" ht="15" hidden="false" customHeight="true" outlineLevel="0" collapsed="false">
      <c r="A83" s="25" t="str">
        <f aca="false">IF(78&lt;=$B$3,78,"")</f>
        <v/>
      </c>
      <c r="B83" s="26" t="str">
        <f aca="false">IF($A83="","",INDEX('Data Input'!$C$6:$C$143,MATCH($A83,'Data Input'!$S$6:$S$143,0)))</f>
        <v/>
      </c>
      <c r="C83" s="27" t="str">
        <f aca="false">IF($A83="","",INDEX('Data Input'!$D$6:$D$143,MATCH($A83,'Data Input'!$S$6:$S$143,0)))</f>
        <v/>
      </c>
      <c r="D83" s="28" t="str">
        <f aca="false">IF($A83="","",INDEX('Data Input'!$L$6:$L$143,MATCH($A83,'Data Input'!$S$6:$S$143,0)))</f>
        <v/>
      </c>
      <c r="E83" s="26" t="str">
        <f aca="false">IF($A83="","",IF(D83&gt;5,"Severe",IF(D83&gt;3,"Moderate","Minor")))</f>
        <v/>
      </c>
      <c r="F83" s="26" t="str">
        <f aca="false">IF($A83="","",INDEX('Data Input'!$F$6:$F$143,MATCH($A83,'Data Input'!$S$6:$S$143,0)))</f>
        <v/>
      </c>
      <c r="G83" s="26" t="str">
        <f aca="false">IF($A83="","",INDEX('Data Input'!$H$6:$H$143,MATCH($A83,'Data Input'!$S$6:$S$143,0)))</f>
        <v/>
      </c>
      <c r="H83" s="29" t="str">
        <f aca="false">IF($A83="","",INDEX('Data Input'!$I$6:$I$143,MATCH($A83,'Data Input'!$S$6:$S$143,0)))</f>
        <v/>
      </c>
      <c r="I83" s="30" t="str">
        <f aca="false">IF($A83="","",INDEX('Data Input'!$M$6:$M$143,MATCH($A83,'Data Input'!$S$6:$S$143,0)))</f>
        <v/>
      </c>
      <c r="J83" s="26" t="str">
        <f aca="false">IF($A83="","",IFERROR(IF(INDEX('Data Input'!$Q$6:$Q$143,MATCH($A83,'Data Input'!$S$6:$S$143,0))="","",INDEX('Data Input'!$Q$6:$Q$143,MATCH($A83,'Data Input'!$S$6:$S$143,0))),""))</f>
        <v/>
      </c>
      <c r="K83" s="26" t="str">
        <f aca="false">IF($A83="","",IFERROR(IF(INDEX('Data Input'!$R$6:$R$143,MATCH($A83,'Data Input'!$S$6:$S$143,0))="","",INDEX('Data Input'!$R$6:$R$143,MATCH($A83,'Data Input'!$S$6:$S$143,0))),""))</f>
        <v/>
      </c>
    </row>
    <row r="84" customFormat="false" ht="15" hidden="false" customHeight="true" outlineLevel="0" collapsed="false">
      <c r="A84" s="25" t="str">
        <f aca="false">IF(79&lt;=$B$3,79,"")</f>
        <v/>
      </c>
      <c r="B84" s="26" t="str">
        <f aca="false">IF($A84="","",INDEX('Data Input'!$C$6:$C$143,MATCH($A84,'Data Input'!$S$6:$S$143,0)))</f>
        <v/>
      </c>
      <c r="C84" s="27" t="str">
        <f aca="false">IF($A84="","",INDEX('Data Input'!$D$6:$D$143,MATCH($A84,'Data Input'!$S$6:$S$143,0)))</f>
        <v/>
      </c>
      <c r="D84" s="28" t="str">
        <f aca="false">IF($A84="","",INDEX('Data Input'!$L$6:$L$143,MATCH($A84,'Data Input'!$S$6:$S$143,0)))</f>
        <v/>
      </c>
      <c r="E84" s="26" t="str">
        <f aca="false">IF($A84="","",IF(D84&gt;5,"Severe",IF(D84&gt;3,"Moderate","Minor")))</f>
        <v/>
      </c>
      <c r="F84" s="26" t="str">
        <f aca="false">IF($A84="","",INDEX('Data Input'!$F$6:$F$143,MATCH($A84,'Data Input'!$S$6:$S$143,0)))</f>
        <v/>
      </c>
      <c r="G84" s="26" t="str">
        <f aca="false">IF($A84="","",INDEX('Data Input'!$H$6:$H$143,MATCH($A84,'Data Input'!$S$6:$S$143,0)))</f>
        <v/>
      </c>
      <c r="H84" s="29" t="str">
        <f aca="false">IF($A84="","",INDEX('Data Input'!$I$6:$I$143,MATCH($A84,'Data Input'!$S$6:$S$143,0)))</f>
        <v/>
      </c>
      <c r="I84" s="30" t="str">
        <f aca="false">IF($A84="","",INDEX('Data Input'!$M$6:$M$143,MATCH($A84,'Data Input'!$S$6:$S$143,0)))</f>
        <v/>
      </c>
      <c r="J84" s="26" t="str">
        <f aca="false">IF($A84="","",IFERROR(IF(INDEX('Data Input'!$Q$6:$Q$143,MATCH($A84,'Data Input'!$S$6:$S$143,0))="","",INDEX('Data Input'!$Q$6:$Q$143,MATCH($A84,'Data Input'!$S$6:$S$143,0))),""))</f>
        <v/>
      </c>
      <c r="K84" s="26" t="str">
        <f aca="false">IF($A84="","",IFERROR(IF(INDEX('Data Input'!$R$6:$R$143,MATCH($A84,'Data Input'!$S$6:$S$143,0))="","",INDEX('Data Input'!$R$6:$R$143,MATCH($A84,'Data Input'!$S$6:$S$143,0))),""))</f>
        <v/>
      </c>
    </row>
    <row r="85" customFormat="false" ht="15" hidden="false" customHeight="true" outlineLevel="0" collapsed="false">
      <c r="A85" s="25" t="str">
        <f aca="false">IF(80&lt;=$B$3,80,"")</f>
        <v/>
      </c>
      <c r="B85" s="26" t="str">
        <f aca="false">IF($A85="","",INDEX('Data Input'!$C$6:$C$143,MATCH($A85,'Data Input'!$S$6:$S$143,0)))</f>
        <v/>
      </c>
      <c r="C85" s="27" t="str">
        <f aca="false">IF($A85="","",INDEX('Data Input'!$D$6:$D$143,MATCH($A85,'Data Input'!$S$6:$S$143,0)))</f>
        <v/>
      </c>
      <c r="D85" s="28" t="str">
        <f aca="false">IF($A85="","",INDEX('Data Input'!$L$6:$L$143,MATCH($A85,'Data Input'!$S$6:$S$143,0)))</f>
        <v/>
      </c>
      <c r="E85" s="26" t="str">
        <f aca="false">IF($A85="","",IF(D85&gt;5,"Severe",IF(D85&gt;3,"Moderate","Minor")))</f>
        <v/>
      </c>
      <c r="F85" s="26" t="str">
        <f aca="false">IF($A85="","",INDEX('Data Input'!$F$6:$F$143,MATCH($A85,'Data Input'!$S$6:$S$143,0)))</f>
        <v/>
      </c>
      <c r="G85" s="26" t="str">
        <f aca="false">IF($A85="","",INDEX('Data Input'!$H$6:$H$143,MATCH($A85,'Data Input'!$S$6:$S$143,0)))</f>
        <v/>
      </c>
      <c r="H85" s="29" t="str">
        <f aca="false">IF($A85="","",INDEX('Data Input'!$I$6:$I$143,MATCH($A85,'Data Input'!$S$6:$S$143,0)))</f>
        <v/>
      </c>
      <c r="I85" s="30" t="str">
        <f aca="false">IF($A85="","",INDEX('Data Input'!$M$6:$M$143,MATCH($A85,'Data Input'!$S$6:$S$143,0)))</f>
        <v/>
      </c>
      <c r="J85" s="26" t="str">
        <f aca="false">IF($A85="","",IFERROR(IF(INDEX('Data Input'!$Q$6:$Q$143,MATCH($A85,'Data Input'!$S$6:$S$143,0))="","",INDEX('Data Input'!$Q$6:$Q$143,MATCH($A85,'Data Input'!$S$6:$S$143,0))),""))</f>
        <v/>
      </c>
      <c r="K85" s="26" t="str">
        <f aca="false">IF($A85="","",IFERROR(IF(INDEX('Data Input'!$R$6:$R$143,MATCH($A85,'Data Input'!$S$6:$S$143,0))="","",INDEX('Data Input'!$R$6:$R$143,MATCH($A85,'Data Input'!$S$6:$S$143,0))),""))</f>
        <v/>
      </c>
    </row>
    <row r="86" customFormat="false" ht="15" hidden="false" customHeight="true" outlineLevel="0" collapsed="false">
      <c r="A86" s="25" t="str">
        <f aca="false">IF(81&lt;=$B$3,81,"")</f>
        <v/>
      </c>
      <c r="B86" s="26" t="str">
        <f aca="false">IF($A86="","",INDEX('Data Input'!$C$6:$C$143,MATCH($A86,'Data Input'!$S$6:$S$143,0)))</f>
        <v/>
      </c>
      <c r="C86" s="27" t="str">
        <f aca="false">IF($A86="","",INDEX('Data Input'!$D$6:$D$143,MATCH($A86,'Data Input'!$S$6:$S$143,0)))</f>
        <v/>
      </c>
      <c r="D86" s="28" t="str">
        <f aca="false">IF($A86="","",INDEX('Data Input'!$L$6:$L$143,MATCH($A86,'Data Input'!$S$6:$S$143,0)))</f>
        <v/>
      </c>
      <c r="E86" s="26" t="str">
        <f aca="false">IF($A86="","",IF(D86&gt;5,"Severe",IF(D86&gt;3,"Moderate","Minor")))</f>
        <v/>
      </c>
      <c r="F86" s="26" t="str">
        <f aca="false">IF($A86="","",INDEX('Data Input'!$F$6:$F$143,MATCH($A86,'Data Input'!$S$6:$S$143,0)))</f>
        <v/>
      </c>
      <c r="G86" s="26" t="str">
        <f aca="false">IF($A86="","",INDEX('Data Input'!$H$6:$H$143,MATCH($A86,'Data Input'!$S$6:$S$143,0)))</f>
        <v/>
      </c>
      <c r="H86" s="29" t="str">
        <f aca="false">IF($A86="","",INDEX('Data Input'!$I$6:$I$143,MATCH($A86,'Data Input'!$S$6:$S$143,0)))</f>
        <v/>
      </c>
      <c r="I86" s="30" t="str">
        <f aca="false">IF($A86="","",INDEX('Data Input'!$M$6:$M$143,MATCH($A86,'Data Input'!$S$6:$S$143,0)))</f>
        <v/>
      </c>
      <c r="J86" s="26" t="str">
        <f aca="false">IF($A86="","",IFERROR(IF(INDEX('Data Input'!$Q$6:$Q$143,MATCH($A86,'Data Input'!$S$6:$S$143,0))="","",INDEX('Data Input'!$Q$6:$Q$143,MATCH($A86,'Data Input'!$S$6:$S$143,0))),""))</f>
        <v/>
      </c>
      <c r="K86" s="26" t="str">
        <f aca="false">IF($A86="","",IFERROR(IF(INDEX('Data Input'!$R$6:$R$143,MATCH($A86,'Data Input'!$S$6:$S$143,0))="","",INDEX('Data Input'!$R$6:$R$143,MATCH($A86,'Data Input'!$S$6:$S$143,0))),""))</f>
        <v/>
      </c>
    </row>
    <row r="87" customFormat="false" ht="15" hidden="false" customHeight="true" outlineLevel="0" collapsed="false">
      <c r="A87" s="25" t="str">
        <f aca="false">IF(82&lt;=$B$3,82,"")</f>
        <v/>
      </c>
      <c r="B87" s="26" t="str">
        <f aca="false">IF($A87="","",INDEX('Data Input'!$C$6:$C$143,MATCH($A87,'Data Input'!$S$6:$S$143,0)))</f>
        <v/>
      </c>
      <c r="C87" s="27" t="str">
        <f aca="false">IF($A87="","",INDEX('Data Input'!$D$6:$D$143,MATCH($A87,'Data Input'!$S$6:$S$143,0)))</f>
        <v/>
      </c>
      <c r="D87" s="28" t="str">
        <f aca="false">IF($A87="","",INDEX('Data Input'!$L$6:$L$143,MATCH($A87,'Data Input'!$S$6:$S$143,0)))</f>
        <v/>
      </c>
      <c r="E87" s="26" t="str">
        <f aca="false">IF($A87="","",IF(D87&gt;5,"Severe",IF(D87&gt;3,"Moderate","Minor")))</f>
        <v/>
      </c>
      <c r="F87" s="26" t="str">
        <f aca="false">IF($A87="","",INDEX('Data Input'!$F$6:$F$143,MATCH($A87,'Data Input'!$S$6:$S$143,0)))</f>
        <v/>
      </c>
      <c r="G87" s="26" t="str">
        <f aca="false">IF($A87="","",INDEX('Data Input'!$H$6:$H$143,MATCH($A87,'Data Input'!$S$6:$S$143,0)))</f>
        <v/>
      </c>
      <c r="H87" s="29" t="str">
        <f aca="false">IF($A87="","",INDEX('Data Input'!$I$6:$I$143,MATCH($A87,'Data Input'!$S$6:$S$143,0)))</f>
        <v/>
      </c>
      <c r="I87" s="30" t="str">
        <f aca="false">IF($A87="","",INDEX('Data Input'!$M$6:$M$143,MATCH($A87,'Data Input'!$S$6:$S$143,0)))</f>
        <v/>
      </c>
      <c r="J87" s="26" t="str">
        <f aca="false">IF($A87="","",IFERROR(IF(INDEX('Data Input'!$Q$6:$Q$143,MATCH($A87,'Data Input'!$S$6:$S$143,0))="","",INDEX('Data Input'!$Q$6:$Q$143,MATCH($A87,'Data Input'!$S$6:$S$143,0))),""))</f>
        <v/>
      </c>
      <c r="K87" s="26" t="str">
        <f aca="false">IF($A87="","",IFERROR(IF(INDEX('Data Input'!$R$6:$R$143,MATCH($A87,'Data Input'!$S$6:$S$143,0))="","",INDEX('Data Input'!$R$6:$R$143,MATCH($A87,'Data Input'!$S$6:$S$143,0))),""))</f>
        <v/>
      </c>
    </row>
    <row r="88" customFormat="false" ht="15" hidden="false" customHeight="true" outlineLevel="0" collapsed="false">
      <c r="A88" s="25" t="str">
        <f aca="false">IF(83&lt;=$B$3,83,"")</f>
        <v/>
      </c>
      <c r="B88" s="26" t="str">
        <f aca="false">IF($A88="","",INDEX('Data Input'!$C$6:$C$143,MATCH($A88,'Data Input'!$S$6:$S$143,0)))</f>
        <v/>
      </c>
      <c r="C88" s="27" t="str">
        <f aca="false">IF($A88="","",INDEX('Data Input'!$D$6:$D$143,MATCH($A88,'Data Input'!$S$6:$S$143,0)))</f>
        <v/>
      </c>
      <c r="D88" s="28" t="str">
        <f aca="false">IF($A88="","",INDEX('Data Input'!$L$6:$L$143,MATCH($A88,'Data Input'!$S$6:$S$143,0)))</f>
        <v/>
      </c>
      <c r="E88" s="26" t="str">
        <f aca="false">IF($A88="","",IF(D88&gt;5,"Severe",IF(D88&gt;3,"Moderate","Minor")))</f>
        <v/>
      </c>
      <c r="F88" s="26" t="str">
        <f aca="false">IF($A88="","",INDEX('Data Input'!$F$6:$F$143,MATCH($A88,'Data Input'!$S$6:$S$143,0)))</f>
        <v/>
      </c>
      <c r="G88" s="26" t="str">
        <f aca="false">IF($A88="","",INDEX('Data Input'!$H$6:$H$143,MATCH($A88,'Data Input'!$S$6:$S$143,0)))</f>
        <v/>
      </c>
      <c r="H88" s="29" t="str">
        <f aca="false">IF($A88="","",INDEX('Data Input'!$I$6:$I$143,MATCH($A88,'Data Input'!$S$6:$S$143,0)))</f>
        <v/>
      </c>
      <c r="I88" s="30" t="str">
        <f aca="false">IF($A88="","",INDEX('Data Input'!$M$6:$M$143,MATCH($A88,'Data Input'!$S$6:$S$143,0)))</f>
        <v/>
      </c>
      <c r="J88" s="26" t="str">
        <f aca="false">IF($A88="","",IFERROR(IF(INDEX('Data Input'!$Q$6:$Q$143,MATCH($A88,'Data Input'!$S$6:$S$143,0))="","",INDEX('Data Input'!$Q$6:$Q$143,MATCH($A88,'Data Input'!$S$6:$S$143,0))),""))</f>
        <v/>
      </c>
      <c r="K88" s="26" t="str">
        <f aca="false">IF($A88="","",IFERROR(IF(INDEX('Data Input'!$R$6:$R$143,MATCH($A88,'Data Input'!$S$6:$S$143,0))="","",INDEX('Data Input'!$R$6:$R$143,MATCH($A88,'Data Input'!$S$6:$S$143,0))),""))</f>
        <v/>
      </c>
    </row>
    <row r="89" customFormat="false" ht="15" hidden="false" customHeight="true" outlineLevel="0" collapsed="false">
      <c r="A89" s="25" t="str">
        <f aca="false">IF(84&lt;=$B$3,84,"")</f>
        <v/>
      </c>
      <c r="B89" s="26" t="str">
        <f aca="false">IF($A89="","",INDEX('Data Input'!$C$6:$C$143,MATCH($A89,'Data Input'!$S$6:$S$143,0)))</f>
        <v/>
      </c>
      <c r="C89" s="27" t="str">
        <f aca="false">IF($A89="","",INDEX('Data Input'!$D$6:$D$143,MATCH($A89,'Data Input'!$S$6:$S$143,0)))</f>
        <v/>
      </c>
      <c r="D89" s="28" t="str">
        <f aca="false">IF($A89="","",INDEX('Data Input'!$L$6:$L$143,MATCH($A89,'Data Input'!$S$6:$S$143,0)))</f>
        <v/>
      </c>
      <c r="E89" s="26" t="str">
        <f aca="false">IF($A89="","",IF(D89&gt;5,"Severe",IF(D89&gt;3,"Moderate","Minor")))</f>
        <v/>
      </c>
      <c r="F89" s="26" t="str">
        <f aca="false">IF($A89="","",INDEX('Data Input'!$F$6:$F$143,MATCH($A89,'Data Input'!$S$6:$S$143,0)))</f>
        <v/>
      </c>
      <c r="G89" s="26" t="str">
        <f aca="false">IF($A89="","",INDEX('Data Input'!$H$6:$H$143,MATCH($A89,'Data Input'!$S$6:$S$143,0)))</f>
        <v/>
      </c>
      <c r="H89" s="29" t="str">
        <f aca="false">IF($A89="","",INDEX('Data Input'!$I$6:$I$143,MATCH($A89,'Data Input'!$S$6:$S$143,0)))</f>
        <v/>
      </c>
      <c r="I89" s="30" t="str">
        <f aca="false">IF($A89="","",INDEX('Data Input'!$M$6:$M$143,MATCH($A89,'Data Input'!$S$6:$S$143,0)))</f>
        <v/>
      </c>
      <c r="J89" s="26" t="str">
        <f aca="false">IF($A89="","",IFERROR(IF(INDEX('Data Input'!$Q$6:$Q$143,MATCH($A89,'Data Input'!$S$6:$S$143,0))="","",INDEX('Data Input'!$Q$6:$Q$143,MATCH($A89,'Data Input'!$S$6:$S$143,0))),""))</f>
        <v/>
      </c>
      <c r="K89" s="26" t="str">
        <f aca="false">IF($A89="","",IFERROR(IF(INDEX('Data Input'!$R$6:$R$143,MATCH($A89,'Data Input'!$S$6:$S$143,0))="","",INDEX('Data Input'!$R$6:$R$143,MATCH($A89,'Data Input'!$S$6:$S$143,0))),""))</f>
        <v/>
      </c>
    </row>
    <row r="90" customFormat="false" ht="15" hidden="false" customHeight="true" outlineLevel="0" collapsed="false">
      <c r="A90" s="25" t="str">
        <f aca="false">IF(85&lt;=$B$3,85,"")</f>
        <v/>
      </c>
      <c r="B90" s="26" t="str">
        <f aca="false">IF($A90="","",INDEX('Data Input'!$C$6:$C$143,MATCH($A90,'Data Input'!$S$6:$S$143,0)))</f>
        <v/>
      </c>
      <c r="C90" s="27" t="str">
        <f aca="false">IF($A90="","",INDEX('Data Input'!$D$6:$D$143,MATCH($A90,'Data Input'!$S$6:$S$143,0)))</f>
        <v/>
      </c>
      <c r="D90" s="28" t="str">
        <f aca="false">IF($A90="","",INDEX('Data Input'!$L$6:$L$143,MATCH($A90,'Data Input'!$S$6:$S$143,0)))</f>
        <v/>
      </c>
      <c r="E90" s="26" t="str">
        <f aca="false">IF($A90="","",IF(D90&gt;5,"Severe",IF(D90&gt;3,"Moderate","Minor")))</f>
        <v/>
      </c>
      <c r="F90" s="26" t="str">
        <f aca="false">IF($A90="","",INDEX('Data Input'!$F$6:$F$143,MATCH($A90,'Data Input'!$S$6:$S$143,0)))</f>
        <v/>
      </c>
      <c r="G90" s="26" t="str">
        <f aca="false">IF($A90="","",INDEX('Data Input'!$H$6:$H$143,MATCH($A90,'Data Input'!$S$6:$S$143,0)))</f>
        <v/>
      </c>
      <c r="H90" s="29" t="str">
        <f aca="false">IF($A90="","",INDEX('Data Input'!$I$6:$I$143,MATCH($A90,'Data Input'!$S$6:$S$143,0)))</f>
        <v/>
      </c>
      <c r="I90" s="30" t="str">
        <f aca="false">IF($A90="","",INDEX('Data Input'!$M$6:$M$143,MATCH($A90,'Data Input'!$S$6:$S$143,0)))</f>
        <v/>
      </c>
      <c r="J90" s="26" t="str">
        <f aca="false">IF($A90="","",IFERROR(IF(INDEX('Data Input'!$Q$6:$Q$143,MATCH($A90,'Data Input'!$S$6:$S$143,0))="","",INDEX('Data Input'!$Q$6:$Q$143,MATCH($A90,'Data Input'!$S$6:$S$143,0))),""))</f>
        <v/>
      </c>
      <c r="K90" s="26" t="str">
        <f aca="false">IF($A90="","",IFERROR(IF(INDEX('Data Input'!$R$6:$R$143,MATCH($A90,'Data Input'!$S$6:$S$143,0))="","",INDEX('Data Input'!$R$6:$R$143,MATCH($A90,'Data Input'!$S$6:$S$143,0))),""))</f>
        <v/>
      </c>
    </row>
    <row r="91" customFormat="false" ht="15" hidden="false" customHeight="true" outlineLevel="0" collapsed="false">
      <c r="A91" s="25" t="str">
        <f aca="false">IF(86&lt;=$B$3,86,"")</f>
        <v/>
      </c>
      <c r="B91" s="26" t="str">
        <f aca="false">IF($A91="","",INDEX('Data Input'!$C$6:$C$143,MATCH($A91,'Data Input'!$S$6:$S$143,0)))</f>
        <v/>
      </c>
      <c r="C91" s="27" t="str">
        <f aca="false">IF($A91="","",INDEX('Data Input'!$D$6:$D$143,MATCH($A91,'Data Input'!$S$6:$S$143,0)))</f>
        <v/>
      </c>
      <c r="D91" s="28" t="str">
        <f aca="false">IF($A91="","",INDEX('Data Input'!$L$6:$L$143,MATCH($A91,'Data Input'!$S$6:$S$143,0)))</f>
        <v/>
      </c>
      <c r="E91" s="26" t="str">
        <f aca="false">IF($A91="","",IF(D91&gt;5,"Severe",IF(D91&gt;3,"Moderate","Minor")))</f>
        <v/>
      </c>
      <c r="F91" s="26" t="str">
        <f aca="false">IF($A91="","",INDEX('Data Input'!$F$6:$F$143,MATCH($A91,'Data Input'!$S$6:$S$143,0)))</f>
        <v/>
      </c>
      <c r="G91" s="26" t="str">
        <f aca="false">IF($A91="","",INDEX('Data Input'!$H$6:$H$143,MATCH($A91,'Data Input'!$S$6:$S$143,0)))</f>
        <v/>
      </c>
      <c r="H91" s="29" t="str">
        <f aca="false">IF($A91="","",INDEX('Data Input'!$I$6:$I$143,MATCH($A91,'Data Input'!$S$6:$S$143,0)))</f>
        <v/>
      </c>
      <c r="I91" s="30" t="str">
        <f aca="false">IF($A91="","",INDEX('Data Input'!$M$6:$M$143,MATCH($A91,'Data Input'!$S$6:$S$143,0)))</f>
        <v/>
      </c>
      <c r="J91" s="26" t="str">
        <f aca="false">IF($A91="","",IFERROR(IF(INDEX('Data Input'!$Q$6:$Q$143,MATCH($A91,'Data Input'!$S$6:$S$143,0))="","",INDEX('Data Input'!$Q$6:$Q$143,MATCH($A91,'Data Input'!$S$6:$S$143,0))),""))</f>
        <v/>
      </c>
      <c r="K91" s="26" t="str">
        <f aca="false">IF($A91="","",IFERROR(IF(INDEX('Data Input'!$R$6:$R$143,MATCH($A91,'Data Input'!$S$6:$S$143,0))="","",INDEX('Data Input'!$R$6:$R$143,MATCH($A91,'Data Input'!$S$6:$S$143,0))),""))</f>
        <v/>
      </c>
    </row>
    <row r="92" customFormat="false" ht="15" hidden="false" customHeight="true" outlineLevel="0" collapsed="false">
      <c r="A92" s="25" t="str">
        <f aca="false">IF(87&lt;=$B$3,87,"")</f>
        <v/>
      </c>
      <c r="B92" s="26" t="str">
        <f aca="false">IF($A92="","",INDEX('Data Input'!$C$6:$C$143,MATCH($A92,'Data Input'!$S$6:$S$143,0)))</f>
        <v/>
      </c>
      <c r="C92" s="27" t="str">
        <f aca="false">IF($A92="","",INDEX('Data Input'!$D$6:$D$143,MATCH($A92,'Data Input'!$S$6:$S$143,0)))</f>
        <v/>
      </c>
      <c r="D92" s="28" t="str">
        <f aca="false">IF($A92="","",INDEX('Data Input'!$L$6:$L$143,MATCH($A92,'Data Input'!$S$6:$S$143,0)))</f>
        <v/>
      </c>
      <c r="E92" s="26" t="str">
        <f aca="false">IF($A92="","",IF(D92&gt;5,"Severe",IF(D92&gt;3,"Moderate","Minor")))</f>
        <v/>
      </c>
      <c r="F92" s="26" t="str">
        <f aca="false">IF($A92="","",INDEX('Data Input'!$F$6:$F$143,MATCH($A92,'Data Input'!$S$6:$S$143,0)))</f>
        <v/>
      </c>
      <c r="G92" s="26" t="str">
        <f aca="false">IF($A92="","",INDEX('Data Input'!$H$6:$H$143,MATCH($A92,'Data Input'!$S$6:$S$143,0)))</f>
        <v/>
      </c>
      <c r="H92" s="29" t="str">
        <f aca="false">IF($A92="","",INDEX('Data Input'!$I$6:$I$143,MATCH($A92,'Data Input'!$S$6:$S$143,0)))</f>
        <v/>
      </c>
      <c r="I92" s="30" t="str">
        <f aca="false">IF($A92="","",INDEX('Data Input'!$M$6:$M$143,MATCH($A92,'Data Input'!$S$6:$S$143,0)))</f>
        <v/>
      </c>
      <c r="J92" s="26" t="str">
        <f aca="false">IF($A92="","",IFERROR(IF(INDEX('Data Input'!$Q$6:$Q$143,MATCH($A92,'Data Input'!$S$6:$S$143,0))="","",INDEX('Data Input'!$Q$6:$Q$143,MATCH($A92,'Data Input'!$S$6:$S$143,0))),""))</f>
        <v/>
      </c>
      <c r="K92" s="26" t="str">
        <f aca="false">IF($A92="","",IFERROR(IF(INDEX('Data Input'!$R$6:$R$143,MATCH($A92,'Data Input'!$S$6:$S$143,0))="","",INDEX('Data Input'!$R$6:$R$143,MATCH($A92,'Data Input'!$S$6:$S$143,0))),""))</f>
        <v/>
      </c>
    </row>
    <row r="93" customFormat="false" ht="15" hidden="false" customHeight="true" outlineLevel="0" collapsed="false">
      <c r="A93" s="25" t="str">
        <f aca="false">IF(88&lt;=$B$3,88,"")</f>
        <v/>
      </c>
      <c r="B93" s="26" t="str">
        <f aca="false">IF($A93="","",INDEX('Data Input'!$C$6:$C$143,MATCH($A93,'Data Input'!$S$6:$S$143,0)))</f>
        <v/>
      </c>
      <c r="C93" s="27" t="str">
        <f aca="false">IF($A93="","",INDEX('Data Input'!$D$6:$D$143,MATCH($A93,'Data Input'!$S$6:$S$143,0)))</f>
        <v/>
      </c>
      <c r="D93" s="28" t="str">
        <f aca="false">IF($A93="","",INDEX('Data Input'!$L$6:$L$143,MATCH($A93,'Data Input'!$S$6:$S$143,0)))</f>
        <v/>
      </c>
      <c r="E93" s="26" t="str">
        <f aca="false">IF($A93="","",IF(D93&gt;5,"Severe",IF(D93&gt;3,"Moderate","Minor")))</f>
        <v/>
      </c>
      <c r="F93" s="26" t="str">
        <f aca="false">IF($A93="","",INDEX('Data Input'!$F$6:$F$143,MATCH($A93,'Data Input'!$S$6:$S$143,0)))</f>
        <v/>
      </c>
      <c r="G93" s="26" t="str">
        <f aca="false">IF($A93="","",INDEX('Data Input'!$H$6:$H$143,MATCH($A93,'Data Input'!$S$6:$S$143,0)))</f>
        <v/>
      </c>
      <c r="H93" s="29" t="str">
        <f aca="false">IF($A93="","",INDEX('Data Input'!$I$6:$I$143,MATCH($A93,'Data Input'!$S$6:$S$143,0)))</f>
        <v/>
      </c>
      <c r="I93" s="30" t="str">
        <f aca="false">IF($A93="","",INDEX('Data Input'!$M$6:$M$143,MATCH($A93,'Data Input'!$S$6:$S$143,0)))</f>
        <v/>
      </c>
      <c r="J93" s="26" t="str">
        <f aca="false">IF($A93="","",IFERROR(IF(INDEX('Data Input'!$Q$6:$Q$143,MATCH($A93,'Data Input'!$S$6:$S$143,0))="","",INDEX('Data Input'!$Q$6:$Q$143,MATCH($A93,'Data Input'!$S$6:$S$143,0))),""))</f>
        <v/>
      </c>
      <c r="K93" s="26" t="str">
        <f aca="false">IF($A93="","",IFERROR(IF(INDEX('Data Input'!$R$6:$R$143,MATCH($A93,'Data Input'!$S$6:$S$143,0))="","",INDEX('Data Input'!$R$6:$R$143,MATCH($A93,'Data Input'!$S$6:$S$143,0))),""))</f>
        <v/>
      </c>
    </row>
    <row r="94" customFormat="false" ht="15" hidden="false" customHeight="true" outlineLevel="0" collapsed="false">
      <c r="A94" s="25" t="str">
        <f aca="false">IF(89&lt;=$B$3,89,"")</f>
        <v/>
      </c>
      <c r="B94" s="26" t="str">
        <f aca="false">IF($A94="","",INDEX('Data Input'!$C$6:$C$143,MATCH($A94,'Data Input'!$S$6:$S$143,0)))</f>
        <v/>
      </c>
      <c r="C94" s="27" t="str">
        <f aca="false">IF($A94="","",INDEX('Data Input'!$D$6:$D$143,MATCH($A94,'Data Input'!$S$6:$S$143,0)))</f>
        <v/>
      </c>
      <c r="D94" s="28" t="str">
        <f aca="false">IF($A94="","",INDEX('Data Input'!$L$6:$L$143,MATCH($A94,'Data Input'!$S$6:$S$143,0)))</f>
        <v/>
      </c>
      <c r="E94" s="26" t="str">
        <f aca="false">IF($A94="","",IF(D94&gt;5,"Severe",IF(D94&gt;3,"Moderate","Minor")))</f>
        <v/>
      </c>
      <c r="F94" s="26" t="str">
        <f aca="false">IF($A94="","",INDEX('Data Input'!$F$6:$F$143,MATCH($A94,'Data Input'!$S$6:$S$143,0)))</f>
        <v/>
      </c>
      <c r="G94" s="26" t="str">
        <f aca="false">IF($A94="","",INDEX('Data Input'!$H$6:$H$143,MATCH($A94,'Data Input'!$S$6:$S$143,0)))</f>
        <v/>
      </c>
      <c r="H94" s="29" t="str">
        <f aca="false">IF($A94="","",INDEX('Data Input'!$I$6:$I$143,MATCH($A94,'Data Input'!$S$6:$S$143,0)))</f>
        <v/>
      </c>
      <c r="I94" s="30" t="str">
        <f aca="false">IF($A94="","",INDEX('Data Input'!$M$6:$M$143,MATCH($A94,'Data Input'!$S$6:$S$143,0)))</f>
        <v/>
      </c>
      <c r="J94" s="26" t="str">
        <f aca="false">IF($A94="","",IFERROR(IF(INDEX('Data Input'!$Q$6:$Q$143,MATCH($A94,'Data Input'!$S$6:$S$143,0))="","",INDEX('Data Input'!$Q$6:$Q$143,MATCH($A94,'Data Input'!$S$6:$S$143,0))),""))</f>
        <v/>
      </c>
      <c r="K94" s="26" t="str">
        <f aca="false">IF($A94="","",IFERROR(IF(INDEX('Data Input'!$R$6:$R$143,MATCH($A94,'Data Input'!$S$6:$S$143,0))="","",INDEX('Data Input'!$R$6:$R$143,MATCH($A94,'Data Input'!$S$6:$S$143,0))),""))</f>
        <v/>
      </c>
    </row>
    <row r="95" customFormat="false" ht="15" hidden="false" customHeight="true" outlineLevel="0" collapsed="false">
      <c r="A95" s="25" t="str">
        <f aca="false">IF(90&lt;=$B$3,90,"")</f>
        <v/>
      </c>
      <c r="B95" s="26" t="str">
        <f aca="false">IF($A95="","",INDEX('Data Input'!$C$6:$C$143,MATCH($A95,'Data Input'!$S$6:$S$143,0)))</f>
        <v/>
      </c>
      <c r="C95" s="27" t="str">
        <f aca="false">IF($A95="","",INDEX('Data Input'!$D$6:$D$143,MATCH($A95,'Data Input'!$S$6:$S$143,0)))</f>
        <v/>
      </c>
      <c r="D95" s="28" t="str">
        <f aca="false">IF($A95="","",INDEX('Data Input'!$L$6:$L$143,MATCH($A95,'Data Input'!$S$6:$S$143,0)))</f>
        <v/>
      </c>
      <c r="E95" s="26" t="str">
        <f aca="false">IF($A95="","",IF(D95&gt;5,"Severe",IF(D95&gt;3,"Moderate","Minor")))</f>
        <v/>
      </c>
      <c r="F95" s="26" t="str">
        <f aca="false">IF($A95="","",INDEX('Data Input'!$F$6:$F$143,MATCH($A95,'Data Input'!$S$6:$S$143,0)))</f>
        <v/>
      </c>
      <c r="G95" s="26" t="str">
        <f aca="false">IF($A95="","",INDEX('Data Input'!$H$6:$H$143,MATCH($A95,'Data Input'!$S$6:$S$143,0)))</f>
        <v/>
      </c>
      <c r="H95" s="29" t="str">
        <f aca="false">IF($A95="","",INDEX('Data Input'!$I$6:$I$143,MATCH($A95,'Data Input'!$S$6:$S$143,0)))</f>
        <v/>
      </c>
      <c r="I95" s="30" t="str">
        <f aca="false">IF($A95="","",INDEX('Data Input'!$M$6:$M$143,MATCH($A95,'Data Input'!$S$6:$S$143,0)))</f>
        <v/>
      </c>
      <c r="J95" s="26" t="str">
        <f aca="false">IF($A95="","",IFERROR(IF(INDEX('Data Input'!$Q$6:$Q$143,MATCH($A95,'Data Input'!$S$6:$S$143,0))="","",INDEX('Data Input'!$Q$6:$Q$143,MATCH($A95,'Data Input'!$S$6:$S$143,0))),""))</f>
        <v/>
      </c>
      <c r="K95" s="26" t="str">
        <f aca="false">IF($A95="","",IFERROR(IF(INDEX('Data Input'!$R$6:$R$143,MATCH($A95,'Data Input'!$S$6:$S$143,0))="","",INDEX('Data Input'!$R$6:$R$143,MATCH($A95,'Data Input'!$S$6:$S$143,0))),""))</f>
        <v/>
      </c>
    </row>
    <row r="96" customFormat="false" ht="15" hidden="false" customHeight="true" outlineLevel="0" collapsed="false">
      <c r="A96" s="25" t="str">
        <f aca="false">IF(91&lt;=$B$3,91,"")</f>
        <v/>
      </c>
      <c r="B96" s="26" t="str">
        <f aca="false">IF($A96="","",INDEX('Data Input'!$C$6:$C$143,MATCH($A96,'Data Input'!$S$6:$S$143,0)))</f>
        <v/>
      </c>
      <c r="C96" s="27" t="str">
        <f aca="false">IF($A96="","",INDEX('Data Input'!$D$6:$D$143,MATCH($A96,'Data Input'!$S$6:$S$143,0)))</f>
        <v/>
      </c>
      <c r="D96" s="28" t="str">
        <f aca="false">IF($A96="","",INDEX('Data Input'!$L$6:$L$143,MATCH($A96,'Data Input'!$S$6:$S$143,0)))</f>
        <v/>
      </c>
      <c r="E96" s="26" t="str">
        <f aca="false">IF($A96="","",IF(D96&gt;5,"Severe",IF(D96&gt;3,"Moderate","Minor")))</f>
        <v/>
      </c>
      <c r="F96" s="26" t="str">
        <f aca="false">IF($A96="","",INDEX('Data Input'!$F$6:$F$143,MATCH($A96,'Data Input'!$S$6:$S$143,0)))</f>
        <v/>
      </c>
      <c r="G96" s="26" t="str">
        <f aca="false">IF($A96="","",INDEX('Data Input'!$H$6:$H$143,MATCH($A96,'Data Input'!$S$6:$S$143,0)))</f>
        <v/>
      </c>
      <c r="H96" s="29" t="str">
        <f aca="false">IF($A96="","",INDEX('Data Input'!$I$6:$I$143,MATCH($A96,'Data Input'!$S$6:$S$143,0)))</f>
        <v/>
      </c>
      <c r="I96" s="30" t="str">
        <f aca="false">IF($A96="","",INDEX('Data Input'!$M$6:$M$143,MATCH($A96,'Data Input'!$S$6:$S$143,0)))</f>
        <v/>
      </c>
      <c r="J96" s="26" t="str">
        <f aca="false">IF($A96="","",IFERROR(IF(INDEX('Data Input'!$Q$6:$Q$143,MATCH($A96,'Data Input'!$S$6:$S$143,0))="","",INDEX('Data Input'!$Q$6:$Q$143,MATCH($A96,'Data Input'!$S$6:$S$143,0))),""))</f>
        <v/>
      </c>
      <c r="K96" s="26" t="str">
        <f aca="false">IF($A96="","",IFERROR(IF(INDEX('Data Input'!$R$6:$R$143,MATCH($A96,'Data Input'!$S$6:$S$143,0))="","",INDEX('Data Input'!$R$6:$R$143,MATCH($A96,'Data Input'!$S$6:$S$143,0))),""))</f>
        <v/>
      </c>
    </row>
    <row r="97" customFormat="false" ht="15" hidden="false" customHeight="true" outlineLevel="0" collapsed="false">
      <c r="A97" s="25" t="str">
        <f aca="false">IF(92&lt;=$B$3,92,"")</f>
        <v/>
      </c>
      <c r="B97" s="26" t="str">
        <f aca="false">IF($A97="","",INDEX('Data Input'!$C$6:$C$143,MATCH($A97,'Data Input'!$S$6:$S$143,0)))</f>
        <v/>
      </c>
      <c r="C97" s="27" t="str">
        <f aca="false">IF($A97="","",INDEX('Data Input'!$D$6:$D$143,MATCH($A97,'Data Input'!$S$6:$S$143,0)))</f>
        <v/>
      </c>
      <c r="D97" s="28" t="str">
        <f aca="false">IF($A97="","",INDEX('Data Input'!$L$6:$L$143,MATCH($A97,'Data Input'!$S$6:$S$143,0)))</f>
        <v/>
      </c>
      <c r="E97" s="26" t="str">
        <f aca="false">IF($A97="","",IF(D97&gt;5,"Severe",IF(D97&gt;3,"Moderate","Minor")))</f>
        <v/>
      </c>
      <c r="F97" s="26" t="str">
        <f aca="false">IF($A97="","",INDEX('Data Input'!$F$6:$F$143,MATCH($A97,'Data Input'!$S$6:$S$143,0)))</f>
        <v/>
      </c>
      <c r="G97" s="26" t="str">
        <f aca="false">IF($A97="","",INDEX('Data Input'!$H$6:$H$143,MATCH($A97,'Data Input'!$S$6:$S$143,0)))</f>
        <v/>
      </c>
      <c r="H97" s="29" t="str">
        <f aca="false">IF($A97="","",INDEX('Data Input'!$I$6:$I$143,MATCH($A97,'Data Input'!$S$6:$S$143,0)))</f>
        <v/>
      </c>
      <c r="I97" s="30" t="str">
        <f aca="false">IF($A97="","",INDEX('Data Input'!$M$6:$M$143,MATCH($A97,'Data Input'!$S$6:$S$143,0)))</f>
        <v/>
      </c>
      <c r="J97" s="26" t="str">
        <f aca="false">IF($A97="","",IFERROR(IF(INDEX('Data Input'!$Q$6:$Q$143,MATCH($A97,'Data Input'!$S$6:$S$143,0))="","",INDEX('Data Input'!$Q$6:$Q$143,MATCH($A97,'Data Input'!$S$6:$S$143,0))),""))</f>
        <v/>
      </c>
      <c r="K97" s="26" t="str">
        <f aca="false">IF($A97="","",IFERROR(IF(INDEX('Data Input'!$R$6:$R$143,MATCH($A97,'Data Input'!$S$6:$S$143,0))="","",INDEX('Data Input'!$R$6:$R$143,MATCH($A97,'Data Input'!$S$6:$S$143,0))),""))</f>
        <v/>
      </c>
    </row>
    <row r="98" customFormat="false" ht="15" hidden="false" customHeight="true" outlineLevel="0" collapsed="false">
      <c r="A98" s="25" t="str">
        <f aca="false">IF(93&lt;=$B$3,93,"")</f>
        <v/>
      </c>
      <c r="B98" s="26" t="str">
        <f aca="false">IF($A98="","",INDEX('Data Input'!$C$6:$C$143,MATCH($A98,'Data Input'!$S$6:$S$143,0)))</f>
        <v/>
      </c>
      <c r="C98" s="27" t="str">
        <f aca="false">IF($A98="","",INDEX('Data Input'!$D$6:$D$143,MATCH($A98,'Data Input'!$S$6:$S$143,0)))</f>
        <v/>
      </c>
      <c r="D98" s="28" t="str">
        <f aca="false">IF($A98="","",INDEX('Data Input'!$L$6:$L$143,MATCH($A98,'Data Input'!$S$6:$S$143,0)))</f>
        <v/>
      </c>
      <c r="E98" s="26" t="str">
        <f aca="false">IF($A98="","",IF(D98&gt;5,"Severe",IF(D98&gt;3,"Moderate","Minor")))</f>
        <v/>
      </c>
      <c r="F98" s="26" t="str">
        <f aca="false">IF($A98="","",INDEX('Data Input'!$F$6:$F$143,MATCH($A98,'Data Input'!$S$6:$S$143,0)))</f>
        <v/>
      </c>
      <c r="G98" s="26" t="str">
        <f aca="false">IF($A98="","",INDEX('Data Input'!$H$6:$H$143,MATCH($A98,'Data Input'!$S$6:$S$143,0)))</f>
        <v/>
      </c>
      <c r="H98" s="29" t="str">
        <f aca="false">IF($A98="","",INDEX('Data Input'!$I$6:$I$143,MATCH($A98,'Data Input'!$S$6:$S$143,0)))</f>
        <v/>
      </c>
      <c r="I98" s="30" t="str">
        <f aca="false">IF($A98="","",INDEX('Data Input'!$M$6:$M$143,MATCH($A98,'Data Input'!$S$6:$S$143,0)))</f>
        <v/>
      </c>
      <c r="J98" s="26" t="str">
        <f aca="false">IF($A98="","",IFERROR(IF(INDEX('Data Input'!$Q$6:$Q$143,MATCH($A98,'Data Input'!$S$6:$S$143,0))="","",INDEX('Data Input'!$Q$6:$Q$143,MATCH($A98,'Data Input'!$S$6:$S$143,0))),""))</f>
        <v/>
      </c>
      <c r="K98" s="26" t="str">
        <f aca="false">IF($A98="","",IFERROR(IF(INDEX('Data Input'!$R$6:$R$143,MATCH($A98,'Data Input'!$S$6:$S$143,0))="","",INDEX('Data Input'!$R$6:$R$143,MATCH($A98,'Data Input'!$S$6:$S$143,0))),""))</f>
        <v/>
      </c>
    </row>
    <row r="99" customFormat="false" ht="15" hidden="false" customHeight="true" outlineLevel="0" collapsed="false">
      <c r="A99" s="25" t="str">
        <f aca="false">IF(94&lt;=$B$3,94,"")</f>
        <v/>
      </c>
      <c r="B99" s="26" t="str">
        <f aca="false">IF($A99="","",INDEX('Data Input'!$C$6:$C$143,MATCH($A99,'Data Input'!$S$6:$S$143,0)))</f>
        <v/>
      </c>
      <c r="C99" s="27" t="str">
        <f aca="false">IF($A99="","",INDEX('Data Input'!$D$6:$D$143,MATCH($A99,'Data Input'!$S$6:$S$143,0)))</f>
        <v/>
      </c>
      <c r="D99" s="28" t="str">
        <f aca="false">IF($A99="","",INDEX('Data Input'!$L$6:$L$143,MATCH($A99,'Data Input'!$S$6:$S$143,0)))</f>
        <v/>
      </c>
      <c r="E99" s="26" t="str">
        <f aca="false">IF($A99="","",IF(D99&gt;5,"Severe",IF(D99&gt;3,"Moderate","Minor")))</f>
        <v/>
      </c>
      <c r="F99" s="26" t="str">
        <f aca="false">IF($A99="","",INDEX('Data Input'!$F$6:$F$143,MATCH($A99,'Data Input'!$S$6:$S$143,0)))</f>
        <v/>
      </c>
      <c r="G99" s="26" t="str">
        <f aca="false">IF($A99="","",INDEX('Data Input'!$H$6:$H$143,MATCH($A99,'Data Input'!$S$6:$S$143,0)))</f>
        <v/>
      </c>
      <c r="H99" s="29" t="str">
        <f aca="false">IF($A99="","",INDEX('Data Input'!$I$6:$I$143,MATCH($A99,'Data Input'!$S$6:$S$143,0)))</f>
        <v/>
      </c>
      <c r="I99" s="30" t="str">
        <f aca="false">IF($A99="","",INDEX('Data Input'!$M$6:$M$143,MATCH($A99,'Data Input'!$S$6:$S$143,0)))</f>
        <v/>
      </c>
      <c r="J99" s="26" t="str">
        <f aca="false">IF($A99="","",IFERROR(IF(INDEX('Data Input'!$Q$6:$Q$143,MATCH($A99,'Data Input'!$S$6:$S$143,0))="","",INDEX('Data Input'!$Q$6:$Q$143,MATCH($A99,'Data Input'!$S$6:$S$143,0))),""))</f>
        <v/>
      </c>
      <c r="K99" s="26" t="str">
        <f aca="false">IF($A99="","",IFERROR(IF(INDEX('Data Input'!$R$6:$R$143,MATCH($A99,'Data Input'!$S$6:$S$143,0))="","",INDEX('Data Input'!$R$6:$R$143,MATCH($A99,'Data Input'!$S$6:$S$143,0))),""))</f>
        <v/>
      </c>
    </row>
    <row r="100" customFormat="false" ht="15" hidden="false" customHeight="true" outlineLevel="0" collapsed="false">
      <c r="A100" s="25" t="str">
        <f aca="false">IF(95&lt;=$B$3,95,"")</f>
        <v/>
      </c>
      <c r="B100" s="26" t="str">
        <f aca="false">IF($A100="","",INDEX('Data Input'!$C$6:$C$143,MATCH($A100,'Data Input'!$S$6:$S$143,0)))</f>
        <v/>
      </c>
      <c r="C100" s="27" t="str">
        <f aca="false">IF($A100="","",INDEX('Data Input'!$D$6:$D$143,MATCH($A100,'Data Input'!$S$6:$S$143,0)))</f>
        <v/>
      </c>
      <c r="D100" s="28" t="str">
        <f aca="false">IF($A100="","",INDEX('Data Input'!$L$6:$L$143,MATCH($A100,'Data Input'!$S$6:$S$143,0)))</f>
        <v/>
      </c>
      <c r="E100" s="26" t="str">
        <f aca="false">IF($A100="","",IF(D100&gt;5,"Severe",IF(D100&gt;3,"Moderate","Minor")))</f>
        <v/>
      </c>
      <c r="F100" s="26" t="str">
        <f aca="false">IF($A100="","",INDEX('Data Input'!$F$6:$F$143,MATCH($A100,'Data Input'!$S$6:$S$143,0)))</f>
        <v/>
      </c>
      <c r="G100" s="26" t="str">
        <f aca="false">IF($A100="","",INDEX('Data Input'!$H$6:$H$143,MATCH($A100,'Data Input'!$S$6:$S$143,0)))</f>
        <v/>
      </c>
      <c r="H100" s="29" t="str">
        <f aca="false">IF($A100="","",INDEX('Data Input'!$I$6:$I$143,MATCH($A100,'Data Input'!$S$6:$S$143,0)))</f>
        <v/>
      </c>
      <c r="I100" s="30" t="str">
        <f aca="false">IF($A100="","",INDEX('Data Input'!$M$6:$M$143,MATCH($A100,'Data Input'!$S$6:$S$143,0)))</f>
        <v/>
      </c>
      <c r="J100" s="26" t="str">
        <f aca="false">IF($A100="","",IFERROR(IF(INDEX('Data Input'!$Q$6:$Q$143,MATCH($A100,'Data Input'!$S$6:$S$143,0))="","",INDEX('Data Input'!$Q$6:$Q$143,MATCH($A100,'Data Input'!$S$6:$S$143,0))),""))</f>
        <v/>
      </c>
      <c r="K100" s="26" t="str">
        <f aca="false">IF($A100="","",IFERROR(IF(INDEX('Data Input'!$R$6:$R$143,MATCH($A100,'Data Input'!$S$6:$S$143,0))="","",INDEX('Data Input'!$R$6:$R$143,MATCH($A100,'Data Input'!$S$6:$S$143,0))),""))</f>
        <v/>
      </c>
    </row>
    <row r="101" customFormat="false" ht="15" hidden="false" customHeight="true" outlineLevel="0" collapsed="false">
      <c r="A101" s="25" t="str">
        <f aca="false">IF(96&lt;=$B$3,96,"")</f>
        <v/>
      </c>
      <c r="B101" s="26" t="str">
        <f aca="false">IF($A101="","",INDEX('Data Input'!$C$6:$C$143,MATCH($A101,'Data Input'!$S$6:$S$143,0)))</f>
        <v/>
      </c>
      <c r="C101" s="27" t="str">
        <f aca="false">IF($A101="","",INDEX('Data Input'!$D$6:$D$143,MATCH($A101,'Data Input'!$S$6:$S$143,0)))</f>
        <v/>
      </c>
      <c r="D101" s="28" t="str">
        <f aca="false">IF($A101="","",INDEX('Data Input'!$L$6:$L$143,MATCH($A101,'Data Input'!$S$6:$S$143,0)))</f>
        <v/>
      </c>
      <c r="E101" s="26" t="str">
        <f aca="false">IF($A101="","",IF(D101&gt;5,"Severe",IF(D101&gt;3,"Moderate","Minor")))</f>
        <v/>
      </c>
      <c r="F101" s="26" t="str">
        <f aca="false">IF($A101="","",INDEX('Data Input'!$F$6:$F$143,MATCH($A101,'Data Input'!$S$6:$S$143,0)))</f>
        <v/>
      </c>
      <c r="G101" s="26" t="str">
        <f aca="false">IF($A101="","",INDEX('Data Input'!$H$6:$H$143,MATCH($A101,'Data Input'!$S$6:$S$143,0)))</f>
        <v/>
      </c>
      <c r="H101" s="29" t="str">
        <f aca="false">IF($A101="","",INDEX('Data Input'!$I$6:$I$143,MATCH($A101,'Data Input'!$S$6:$S$143,0)))</f>
        <v/>
      </c>
      <c r="I101" s="30" t="str">
        <f aca="false">IF($A101="","",INDEX('Data Input'!$M$6:$M$143,MATCH($A101,'Data Input'!$S$6:$S$143,0)))</f>
        <v/>
      </c>
      <c r="J101" s="26" t="str">
        <f aca="false">IF($A101="","",IFERROR(IF(INDEX('Data Input'!$Q$6:$Q$143,MATCH($A101,'Data Input'!$S$6:$S$143,0))="","",INDEX('Data Input'!$Q$6:$Q$143,MATCH($A101,'Data Input'!$S$6:$S$143,0))),""))</f>
        <v/>
      </c>
      <c r="K101" s="26" t="str">
        <f aca="false">IF($A101="","",IFERROR(IF(INDEX('Data Input'!$R$6:$R$143,MATCH($A101,'Data Input'!$S$6:$S$143,0))="","",INDEX('Data Input'!$R$6:$R$143,MATCH($A101,'Data Input'!$S$6:$S$143,0))),""))</f>
        <v/>
      </c>
    </row>
    <row r="102" customFormat="false" ht="15" hidden="false" customHeight="true" outlineLevel="0" collapsed="false">
      <c r="A102" s="25" t="str">
        <f aca="false">IF(97&lt;=$B$3,97,"")</f>
        <v/>
      </c>
      <c r="B102" s="26" t="str">
        <f aca="false">IF($A102="","",INDEX('Data Input'!$C$6:$C$143,MATCH($A102,'Data Input'!$S$6:$S$143,0)))</f>
        <v/>
      </c>
      <c r="C102" s="27" t="str">
        <f aca="false">IF($A102="","",INDEX('Data Input'!$D$6:$D$143,MATCH($A102,'Data Input'!$S$6:$S$143,0)))</f>
        <v/>
      </c>
      <c r="D102" s="28" t="str">
        <f aca="false">IF($A102="","",INDEX('Data Input'!$L$6:$L$143,MATCH($A102,'Data Input'!$S$6:$S$143,0)))</f>
        <v/>
      </c>
      <c r="E102" s="26" t="str">
        <f aca="false">IF($A102="","",IF(D102&gt;5,"Severe",IF(D102&gt;3,"Moderate","Minor")))</f>
        <v/>
      </c>
      <c r="F102" s="26" t="str">
        <f aca="false">IF($A102="","",INDEX('Data Input'!$F$6:$F$143,MATCH($A102,'Data Input'!$S$6:$S$143,0)))</f>
        <v/>
      </c>
      <c r="G102" s="26" t="str">
        <f aca="false">IF($A102="","",INDEX('Data Input'!$H$6:$H$143,MATCH($A102,'Data Input'!$S$6:$S$143,0)))</f>
        <v/>
      </c>
      <c r="H102" s="29" t="str">
        <f aca="false">IF($A102="","",INDEX('Data Input'!$I$6:$I$143,MATCH($A102,'Data Input'!$S$6:$S$143,0)))</f>
        <v/>
      </c>
      <c r="I102" s="30" t="str">
        <f aca="false">IF($A102="","",INDEX('Data Input'!$M$6:$M$143,MATCH($A102,'Data Input'!$S$6:$S$143,0)))</f>
        <v/>
      </c>
      <c r="J102" s="26" t="str">
        <f aca="false">IF($A102="","",IFERROR(IF(INDEX('Data Input'!$Q$6:$Q$143,MATCH($A102,'Data Input'!$S$6:$S$143,0))="","",INDEX('Data Input'!$Q$6:$Q$143,MATCH($A102,'Data Input'!$S$6:$S$143,0))),""))</f>
        <v/>
      </c>
      <c r="K102" s="26" t="str">
        <f aca="false">IF($A102="","",IFERROR(IF(INDEX('Data Input'!$R$6:$R$143,MATCH($A102,'Data Input'!$S$6:$S$143,0))="","",INDEX('Data Input'!$R$6:$R$143,MATCH($A102,'Data Input'!$S$6:$S$143,0))),""))</f>
        <v/>
      </c>
    </row>
    <row r="103" customFormat="false" ht="15" hidden="false" customHeight="true" outlineLevel="0" collapsed="false">
      <c r="A103" s="25" t="str">
        <f aca="false">IF(98&lt;=$B$3,98,"")</f>
        <v/>
      </c>
      <c r="B103" s="26" t="str">
        <f aca="false">IF($A103="","",INDEX('Data Input'!$C$6:$C$143,MATCH($A103,'Data Input'!$S$6:$S$143,0)))</f>
        <v/>
      </c>
      <c r="C103" s="27" t="str">
        <f aca="false">IF($A103="","",INDEX('Data Input'!$D$6:$D$143,MATCH($A103,'Data Input'!$S$6:$S$143,0)))</f>
        <v/>
      </c>
      <c r="D103" s="28" t="str">
        <f aca="false">IF($A103="","",INDEX('Data Input'!$L$6:$L$143,MATCH($A103,'Data Input'!$S$6:$S$143,0)))</f>
        <v/>
      </c>
      <c r="E103" s="26" t="str">
        <f aca="false">IF($A103="","",IF(D103&gt;5,"Severe",IF(D103&gt;3,"Moderate","Minor")))</f>
        <v/>
      </c>
      <c r="F103" s="26" t="str">
        <f aca="false">IF($A103="","",INDEX('Data Input'!$F$6:$F$143,MATCH($A103,'Data Input'!$S$6:$S$143,0)))</f>
        <v/>
      </c>
      <c r="G103" s="26" t="str">
        <f aca="false">IF($A103="","",INDEX('Data Input'!$H$6:$H$143,MATCH($A103,'Data Input'!$S$6:$S$143,0)))</f>
        <v/>
      </c>
      <c r="H103" s="29" t="str">
        <f aca="false">IF($A103="","",INDEX('Data Input'!$I$6:$I$143,MATCH($A103,'Data Input'!$S$6:$S$143,0)))</f>
        <v/>
      </c>
      <c r="I103" s="30" t="str">
        <f aca="false">IF($A103="","",INDEX('Data Input'!$M$6:$M$143,MATCH($A103,'Data Input'!$S$6:$S$143,0)))</f>
        <v/>
      </c>
      <c r="J103" s="26" t="str">
        <f aca="false">IF($A103="","",IFERROR(IF(INDEX('Data Input'!$Q$6:$Q$143,MATCH($A103,'Data Input'!$S$6:$S$143,0))="","",INDEX('Data Input'!$Q$6:$Q$143,MATCH($A103,'Data Input'!$S$6:$S$143,0))),""))</f>
        <v/>
      </c>
      <c r="K103" s="26" t="str">
        <f aca="false">IF($A103="","",IFERROR(IF(INDEX('Data Input'!$R$6:$R$143,MATCH($A103,'Data Input'!$S$6:$S$143,0))="","",INDEX('Data Input'!$R$6:$R$143,MATCH($A103,'Data Input'!$S$6:$S$143,0))),""))</f>
        <v/>
      </c>
    </row>
    <row r="104" customFormat="false" ht="15" hidden="false" customHeight="true" outlineLevel="0" collapsed="false">
      <c r="A104" s="25" t="str">
        <f aca="false">IF(99&lt;=$B$3,99,"")</f>
        <v/>
      </c>
      <c r="B104" s="26" t="str">
        <f aca="false">IF($A104="","",INDEX('Data Input'!$C$6:$C$143,MATCH($A104,'Data Input'!$S$6:$S$143,0)))</f>
        <v/>
      </c>
      <c r="C104" s="27" t="str">
        <f aca="false">IF($A104="","",INDEX('Data Input'!$D$6:$D$143,MATCH($A104,'Data Input'!$S$6:$S$143,0)))</f>
        <v/>
      </c>
      <c r="D104" s="28" t="str">
        <f aca="false">IF($A104="","",INDEX('Data Input'!$L$6:$L$143,MATCH($A104,'Data Input'!$S$6:$S$143,0)))</f>
        <v/>
      </c>
      <c r="E104" s="26" t="str">
        <f aca="false">IF($A104="","",IF(D104&gt;5,"Severe",IF(D104&gt;3,"Moderate","Minor")))</f>
        <v/>
      </c>
      <c r="F104" s="26" t="str">
        <f aca="false">IF($A104="","",INDEX('Data Input'!$F$6:$F$143,MATCH($A104,'Data Input'!$S$6:$S$143,0)))</f>
        <v/>
      </c>
      <c r="G104" s="26" t="str">
        <f aca="false">IF($A104="","",INDEX('Data Input'!$H$6:$H$143,MATCH($A104,'Data Input'!$S$6:$S$143,0)))</f>
        <v/>
      </c>
      <c r="H104" s="29" t="str">
        <f aca="false">IF($A104="","",INDEX('Data Input'!$I$6:$I$143,MATCH($A104,'Data Input'!$S$6:$S$143,0)))</f>
        <v/>
      </c>
      <c r="I104" s="30" t="str">
        <f aca="false">IF($A104="","",INDEX('Data Input'!$M$6:$M$143,MATCH($A104,'Data Input'!$S$6:$S$143,0)))</f>
        <v/>
      </c>
      <c r="J104" s="26" t="str">
        <f aca="false">IF($A104="","",IFERROR(IF(INDEX('Data Input'!$Q$6:$Q$143,MATCH($A104,'Data Input'!$S$6:$S$143,0))="","",INDEX('Data Input'!$Q$6:$Q$143,MATCH($A104,'Data Input'!$S$6:$S$143,0))),""))</f>
        <v/>
      </c>
      <c r="K104" s="26" t="str">
        <f aca="false">IF($A104="","",IFERROR(IF(INDEX('Data Input'!$R$6:$R$143,MATCH($A104,'Data Input'!$S$6:$S$143,0))="","",INDEX('Data Input'!$R$6:$R$143,MATCH($A104,'Data Input'!$S$6:$S$143,0))),""))</f>
        <v/>
      </c>
    </row>
    <row r="105" customFormat="false" ht="15" hidden="false" customHeight="true" outlineLevel="0" collapsed="false">
      <c r="A105" s="25" t="str">
        <f aca="false">IF(100&lt;=$B$3,100,"")</f>
        <v/>
      </c>
      <c r="B105" s="26" t="str">
        <f aca="false">IF($A105="","",INDEX('Data Input'!$C$6:$C$143,MATCH($A105,'Data Input'!$S$6:$S$143,0)))</f>
        <v/>
      </c>
      <c r="C105" s="27" t="str">
        <f aca="false">IF($A105="","",INDEX('Data Input'!$D$6:$D$143,MATCH($A105,'Data Input'!$S$6:$S$143,0)))</f>
        <v/>
      </c>
      <c r="D105" s="28" t="str">
        <f aca="false">IF($A105="","",INDEX('Data Input'!$L$6:$L$143,MATCH($A105,'Data Input'!$S$6:$S$143,0)))</f>
        <v/>
      </c>
      <c r="E105" s="26" t="str">
        <f aca="false">IF($A105="","",IF(D105&gt;5,"Severe",IF(D105&gt;3,"Moderate","Minor")))</f>
        <v/>
      </c>
      <c r="F105" s="26" t="str">
        <f aca="false">IF($A105="","",INDEX('Data Input'!$F$6:$F$143,MATCH($A105,'Data Input'!$S$6:$S$143,0)))</f>
        <v/>
      </c>
      <c r="G105" s="26" t="str">
        <f aca="false">IF($A105="","",INDEX('Data Input'!$H$6:$H$143,MATCH($A105,'Data Input'!$S$6:$S$143,0)))</f>
        <v/>
      </c>
      <c r="H105" s="29" t="str">
        <f aca="false">IF($A105="","",INDEX('Data Input'!$I$6:$I$143,MATCH($A105,'Data Input'!$S$6:$S$143,0)))</f>
        <v/>
      </c>
      <c r="I105" s="30" t="str">
        <f aca="false">IF($A105="","",INDEX('Data Input'!$M$6:$M$143,MATCH($A105,'Data Input'!$S$6:$S$143,0)))</f>
        <v/>
      </c>
      <c r="J105" s="26" t="str">
        <f aca="false">IF($A105="","",IFERROR(IF(INDEX('Data Input'!$Q$6:$Q$143,MATCH($A105,'Data Input'!$S$6:$S$143,0))="","",INDEX('Data Input'!$Q$6:$Q$143,MATCH($A105,'Data Input'!$S$6:$S$143,0))),""))</f>
        <v/>
      </c>
      <c r="K105" s="26" t="str">
        <f aca="false">IF($A105="","",IFERROR(IF(INDEX('Data Input'!$R$6:$R$143,MATCH($A105,'Data Input'!$S$6:$S$143,0))="","",INDEX('Data Input'!$R$6:$R$143,MATCH($A105,'Data Input'!$S$6:$S$143,0))),""))</f>
        <v/>
      </c>
    </row>
    <row r="106" customFormat="false" ht="15" hidden="false" customHeight="true" outlineLevel="0" collapsed="false">
      <c r="A106" s="25" t="str">
        <f aca="false">IF(101&lt;=$B$3,101,"")</f>
        <v/>
      </c>
      <c r="B106" s="26" t="str">
        <f aca="false">IF($A106="","",INDEX('Data Input'!$C$6:$C$143,MATCH($A106,'Data Input'!$S$6:$S$143,0)))</f>
        <v/>
      </c>
      <c r="C106" s="27" t="str">
        <f aca="false">IF($A106="","",INDEX('Data Input'!$D$6:$D$143,MATCH($A106,'Data Input'!$S$6:$S$143,0)))</f>
        <v/>
      </c>
      <c r="D106" s="28" t="str">
        <f aca="false">IF($A106="","",INDEX('Data Input'!$L$6:$L$143,MATCH($A106,'Data Input'!$S$6:$S$143,0)))</f>
        <v/>
      </c>
      <c r="E106" s="26" t="str">
        <f aca="false">IF($A106="","",IF(D106&gt;5,"Severe",IF(D106&gt;3,"Moderate","Minor")))</f>
        <v/>
      </c>
      <c r="F106" s="26" t="str">
        <f aca="false">IF($A106="","",INDEX('Data Input'!$F$6:$F$143,MATCH($A106,'Data Input'!$S$6:$S$143,0)))</f>
        <v/>
      </c>
      <c r="G106" s="26" t="str">
        <f aca="false">IF($A106="","",INDEX('Data Input'!$H$6:$H$143,MATCH($A106,'Data Input'!$S$6:$S$143,0)))</f>
        <v/>
      </c>
      <c r="H106" s="29" t="str">
        <f aca="false">IF($A106="","",INDEX('Data Input'!$I$6:$I$143,MATCH($A106,'Data Input'!$S$6:$S$143,0)))</f>
        <v/>
      </c>
      <c r="I106" s="30" t="str">
        <f aca="false">IF($A106="","",INDEX('Data Input'!$M$6:$M$143,MATCH($A106,'Data Input'!$S$6:$S$143,0)))</f>
        <v/>
      </c>
      <c r="J106" s="26" t="str">
        <f aca="false">IF($A106="","",IFERROR(IF(INDEX('Data Input'!$Q$6:$Q$143,MATCH($A106,'Data Input'!$S$6:$S$143,0))="","",INDEX('Data Input'!$Q$6:$Q$143,MATCH($A106,'Data Input'!$S$6:$S$143,0))),""))</f>
        <v/>
      </c>
      <c r="K106" s="26" t="str">
        <f aca="false">IF($A106="","",IFERROR(IF(INDEX('Data Input'!$R$6:$R$143,MATCH($A106,'Data Input'!$S$6:$S$143,0))="","",INDEX('Data Input'!$R$6:$R$143,MATCH($A106,'Data Input'!$S$6:$S$143,0))),""))</f>
        <v/>
      </c>
    </row>
    <row r="107" customFormat="false" ht="15" hidden="false" customHeight="true" outlineLevel="0" collapsed="false">
      <c r="A107" s="25" t="str">
        <f aca="false">IF(102&lt;=$B$3,102,"")</f>
        <v/>
      </c>
      <c r="B107" s="26" t="str">
        <f aca="false">IF($A107="","",INDEX('Data Input'!$C$6:$C$143,MATCH($A107,'Data Input'!$S$6:$S$143,0)))</f>
        <v/>
      </c>
      <c r="C107" s="27" t="str">
        <f aca="false">IF($A107="","",INDEX('Data Input'!$D$6:$D$143,MATCH($A107,'Data Input'!$S$6:$S$143,0)))</f>
        <v/>
      </c>
      <c r="D107" s="28" t="str">
        <f aca="false">IF($A107="","",INDEX('Data Input'!$L$6:$L$143,MATCH($A107,'Data Input'!$S$6:$S$143,0)))</f>
        <v/>
      </c>
      <c r="E107" s="26" t="str">
        <f aca="false">IF($A107="","",IF(D107&gt;5,"Severe",IF(D107&gt;3,"Moderate","Minor")))</f>
        <v/>
      </c>
      <c r="F107" s="26" t="str">
        <f aca="false">IF($A107="","",INDEX('Data Input'!$F$6:$F$143,MATCH($A107,'Data Input'!$S$6:$S$143,0)))</f>
        <v/>
      </c>
      <c r="G107" s="26" t="str">
        <f aca="false">IF($A107="","",INDEX('Data Input'!$H$6:$H$143,MATCH($A107,'Data Input'!$S$6:$S$143,0)))</f>
        <v/>
      </c>
      <c r="H107" s="29" t="str">
        <f aca="false">IF($A107="","",INDEX('Data Input'!$I$6:$I$143,MATCH($A107,'Data Input'!$S$6:$S$143,0)))</f>
        <v/>
      </c>
      <c r="I107" s="30" t="str">
        <f aca="false">IF($A107="","",INDEX('Data Input'!$M$6:$M$143,MATCH($A107,'Data Input'!$S$6:$S$143,0)))</f>
        <v/>
      </c>
      <c r="J107" s="26" t="str">
        <f aca="false">IF($A107="","",IFERROR(IF(INDEX('Data Input'!$Q$6:$Q$143,MATCH($A107,'Data Input'!$S$6:$S$143,0))="","",INDEX('Data Input'!$Q$6:$Q$143,MATCH($A107,'Data Input'!$S$6:$S$143,0))),""))</f>
        <v/>
      </c>
      <c r="K107" s="26" t="str">
        <f aca="false">IF($A107="","",IFERROR(IF(INDEX('Data Input'!$R$6:$R$143,MATCH($A107,'Data Input'!$S$6:$S$143,0))="","",INDEX('Data Input'!$R$6:$R$143,MATCH($A107,'Data Input'!$S$6:$S$143,0))),""))</f>
        <v/>
      </c>
    </row>
    <row r="108" customFormat="false" ht="15" hidden="false" customHeight="true" outlineLevel="0" collapsed="false">
      <c r="A108" s="25" t="str">
        <f aca="false">IF(103&lt;=$B$3,103,"")</f>
        <v/>
      </c>
      <c r="B108" s="26" t="str">
        <f aca="false">IF($A108="","",INDEX('Data Input'!$C$6:$C$143,MATCH($A108,'Data Input'!$S$6:$S$143,0)))</f>
        <v/>
      </c>
      <c r="C108" s="27" t="str">
        <f aca="false">IF($A108="","",INDEX('Data Input'!$D$6:$D$143,MATCH($A108,'Data Input'!$S$6:$S$143,0)))</f>
        <v/>
      </c>
      <c r="D108" s="28" t="str">
        <f aca="false">IF($A108="","",INDEX('Data Input'!$L$6:$L$143,MATCH($A108,'Data Input'!$S$6:$S$143,0)))</f>
        <v/>
      </c>
      <c r="E108" s="26" t="str">
        <f aca="false">IF($A108="","",IF(D108&gt;5,"Severe",IF(D108&gt;3,"Moderate","Minor")))</f>
        <v/>
      </c>
      <c r="F108" s="26" t="str">
        <f aca="false">IF($A108="","",INDEX('Data Input'!$F$6:$F$143,MATCH($A108,'Data Input'!$S$6:$S$143,0)))</f>
        <v/>
      </c>
      <c r="G108" s="26" t="str">
        <f aca="false">IF($A108="","",INDEX('Data Input'!$H$6:$H$143,MATCH($A108,'Data Input'!$S$6:$S$143,0)))</f>
        <v/>
      </c>
      <c r="H108" s="29" t="str">
        <f aca="false">IF($A108="","",INDEX('Data Input'!$I$6:$I$143,MATCH($A108,'Data Input'!$S$6:$S$143,0)))</f>
        <v/>
      </c>
      <c r="I108" s="30" t="str">
        <f aca="false">IF($A108="","",INDEX('Data Input'!$M$6:$M$143,MATCH($A108,'Data Input'!$S$6:$S$143,0)))</f>
        <v/>
      </c>
      <c r="J108" s="26" t="str">
        <f aca="false">IF($A108="","",IFERROR(IF(INDEX('Data Input'!$Q$6:$Q$143,MATCH($A108,'Data Input'!$S$6:$S$143,0))="","",INDEX('Data Input'!$Q$6:$Q$143,MATCH($A108,'Data Input'!$S$6:$S$143,0))),""))</f>
        <v/>
      </c>
      <c r="K108" s="26" t="str">
        <f aca="false">IF($A108="","",IFERROR(IF(INDEX('Data Input'!$R$6:$R$143,MATCH($A108,'Data Input'!$S$6:$S$143,0))="","",INDEX('Data Input'!$R$6:$R$143,MATCH($A108,'Data Input'!$S$6:$S$143,0))),""))</f>
        <v/>
      </c>
    </row>
    <row r="109" customFormat="false" ht="15" hidden="false" customHeight="true" outlineLevel="0" collapsed="false">
      <c r="A109" s="25" t="str">
        <f aca="false">IF(104&lt;=$B$3,104,"")</f>
        <v/>
      </c>
      <c r="B109" s="26" t="str">
        <f aca="false">IF($A109="","",INDEX('Data Input'!$C$6:$C$143,MATCH($A109,'Data Input'!$S$6:$S$143,0)))</f>
        <v/>
      </c>
      <c r="C109" s="27" t="str">
        <f aca="false">IF($A109="","",INDEX('Data Input'!$D$6:$D$143,MATCH($A109,'Data Input'!$S$6:$S$143,0)))</f>
        <v/>
      </c>
      <c r="D109" s="28" t="str">
        <f aca="false">IF($A109="","",INDEX('Data Input'!$L$6:$L$143,MATCH($A109,'Data Input'!$S$6:$S$143,0)))</f>
        <v/>
      </c>
      <c r="E109" s="26" t="str">
        <f aca="false">IF($A109="","",IF(D109&gt;5,"Severe",IF(D109&gt;3,"Moderate","Minor")))</f>
        <v/>
      </c>
      <c r="F109" s="26" t="str">
        <f aca="false">IF($A109="","",INDEX('Data Input'!$F$6:$F$143,MATCH($A109,'Data Input'!$S$6:$S$143,0)))</f>
        <v/>
      </c>
      <c r="G109" s="26" t="str">
        <f aca="false">IF($A109="","",INDEX('Data Input'!$H$6:$H$143,MATCH($A109,'Data Input'!$S$6:$S$143,0)))</f>
        <v/>
      </c>
      <c r="H109" s="29" t="str">
        <f aca="false">IF($A109="","",INDEX('Data Input'!$I$6:$I$143,MATCH($A109,'Data Input'!$S$6:$S$143,0)))</f>
        <v/>
      </c>
      <c r="I109" s="30" t="str">
        <f aca="false">IF($A109="","",INDEX('Data Input'!$M$6:$M$143,MATCH($A109,'Data Input'!$S$6:$S$143,0)))</f>
        <v/>
      </c>
      <c r="J109" s="26" t="str">
        <f aca="false">IF($A109="","",IFERROR(IF(INDEX('Data Input'!$Q$6:$Q$143,MATCH($A109,'Data Input'!$S$6:$S$143,0))="","",INDEX('Data Input'!$Q$6:$Q$143,MATCH($A109,'Data Input'!$S$6:$S$143,0))),""))</f>
        <v/>
      </c>
      <c r="K109" s="26" t="str">
        <f aca="false">IF($A109="","",IFERROR(IF(INDEX('Data Input'!$R$6:$R$143,MATCH($A109,'Data Input'!$S$6:$S$143,0))="","",INDEX('Data Input'!$R$6:$R$143,MATCH($A109,'Data Input'!$S$6:$S$143,0))),""))</f>
        <v/>
      </c>
    </row>
    <row r="110" customFormat="false" ht="15" hidden="false" customHeight="true" outlineLevel="0" collapsed="false">
      <c r="A110" s="25" t="str">
        <f aca="false">IF(105&lt;=$B$3,105,"")</f>
        <v/>
      </c>
      <c r="B110" s="26" t="str">
        <f aca="false">IF($A110="","",INDEX('Data Input'!$C$6:$C$143,MATCH($A110,'Data Input'!$S$6:$S$143,0)))</f>
        <v/>
      </c>
      <c r="C110" s="27" t="str">
        <f aca="false">IF($A110="","",INDEX('Data Input'!$D$6:$D$143,MATCH($A110,'Data Input'!$S$6:$S$143,0)))</f>
        <v/>
      </c>
      <c r="D110" s="28" t="str">
        <f aca="false">IF($A110="","",INDEX('Data Input'!$L$6:$L$143,MATCH($A110,'Data Input'!$S$6:$S$143,0)))</f>
        <v/>
      </c>
      <c r="E110" s="26" t="str">
        <f aca="false">IF($A110="","",IF(D110&gt;5,"Severe",IF(D110&gt;3,"Moderate","Minor")))</f>
        <v/>
      </c>
      <c r="F110" s="26" t="str">
        <f aca="false">IF($A110="","",INDEX('Data Input'!$F$6:$F$143,MATCH($A110,'Data Input'!$S$6:$S$143,0)))</f>
        <v/>
      </c>
      <c r="G110" s="26" t="str">
        <f aca="false">IF($A110="","",INDEX('Data Input'!$H$6:$H$143,MATCH($A110,'Data Input'!$S$6:$S$143,0)))</f>
        <v/>
      </c>
      <c r="H110" s="29" t="str">
        <f aca="false">IF($A110="","",INDEX('Data Input'!$I$6:$I$143,MATCH($A110,'Data Input'!$S$6:$S$143,0)))</f>
        <v/>
      </c>
      <c r="I110" s="30" t="str">
        <f aca="false">IF($A110="","",INDEX('Data Input'!$M$6:$M$143,MATCH($A110,'Data Input'!$S$6:$S$143,0)))</f>
        <v/>
      </c>
      <c r="J110" s="26" t="str">
        <f aca="false">IF($A110="","",IFERROR(IF(INDEX('Data Input'!$Q$6:$Q$143,MATCH($A110,'Data Input'!$S$6:$S$143,0))="","",INDEX('Data Input'!$Q$6:$Q$143,MATCH($A110,'Data Input'!$S$6:$S$143,0))),""))</f>
        <v/>
      </c>
      <c r="K110" s="26" t="str">
        <f aca="false">IF($A110="","",IFERROR(IF(INDEX('Data Input'!$R$6:$R$143,MATCH($A110,'Data Input'!$S$6:$S$143,0))="","",INDEX('Data Input'!$R$6:$R$143,MATCH($A110,'Data Input'!$S$6:$S$143,0))),""))</f>
        <v/>
      </c>
    </row>
    <row r="111" customFormat="false" ht="15" hidden="false" customHeight="true" outlineLevel="0" collapsed="false">
      <c r="A111" s="25" t="str">
        <f aca="false">IF(106&lt;=$B$3,106,"")</f>
        <v/>
      </c>
      <c r="B111" s="26" t="str">
        <f aca="false">IF($A111="","",INDEX('Data Input'!$C$6:$C$143,MATCH($A111,'Data Input'!$S$6:$S$143,0)))</f>
        <v/>
      </c>
      <c r="C111" s="27" t="str">
        <f aca="false">IF($A111="","",INDEX('Data Input'!$D$6:$D$143,MATCH($A111,'Data Input'!$S$6:$S$143,0)))</f>
        <v/>
      </c>
      <c r="D111" s="28" t="str">
        <f aca="false">IF($A111="","",INDEX('Data Input'!$L$6:$L$143,MATCH($A111,'Data Input'!$S$6:$S$143,0)))</f>
        <v/>
      </c>
      <c r="E111" s="26" t="str">
        <f aca="false">IF($A111="","",IF(D111&gt;5,"Severe",IF(D111&gt;3,"Moderate","Minor")))</f>
        <v/>
      </c>
      <c r="F111" s="26" t="str">
        <f aca="false">IF($A111="","",INDEX('Data Input'!$F$6:$F$143,MATCH($A111,'Data Input'!$S$6:$S$143,0)))</f>
        <v/>
      </c>
      <c r="G111" s="26" t="str">
        <f aca="false">IF($A111="","",INDEX('Data Input'!$H$6:$H$143,MATCH($A111,'Data Input'!$S$6:$S$143,0)))</f>
        <v/>
      </c>
      <c r="H111" s="29" t="str">
        <f aca="false">IF($A111="","",INDEX('Data Input'!$I$6:$I$143,MATCH($A111,'Data Input'!$S$6:$S$143,0)))</f>
        <v/>
      </c>
      <c r="I111" s="30" t="str">
        <f aca="false">IF($A111="","",INDEX('Data Input'!$M$6:$M$143,MATCH($A111,'Data Input'!$S$6:$S$143,0)))</f>
        <v/>
      </c>
      <c r="J111" s="26" t="str">
        <f aca="false">IF($A111="","",IFERROR(IF(INDEX('Data Input'!$Q$6:$Q$143,MATCH($A111,'Data Input'!$S$6:$S$143,0))="","",INDEX('Data Input'!$Q$6:$Q$143,MATCH($A111,'Data Input'!$S$6:$S$143,0))),""))</f>
        <v/>
      </c>
      <c r="K111" s="26" t="str">
        <f aca="false">IF($A111="","",IFERROR(IF(INDEX('Data Input'!$R$6:$R$143,MATCH($A111,'Data Input'!$S$6:$S$143,0))="","",INDEX('Data Input'!$R$6:$R$143,MATCH($A111,'Data Input'!$S$6:$S$143,0))),""))</f>
        <v/>
      </c>
    </row>
    <row r="112" customFormat="false" ht="15" hidden="false" customHeight="true" outlineLevel="0" collapsed="false">
      <c r="A112" s="25" t="str">
        <f aca="false">IF(107&lt;=$B$3,107,"")</f>
        <v/>
      </c>
      <c r="B112" s="26" t="str">
        <f aca="false">IF($A112="","",INDEX('Data Input'!$C$6:$C$143,MATCH($A112,'Data Input'!$S$6:$S$143,0)))</f>
        <v/>
      </c>
      <c r="C112" s="27" t="str">
        <f aca="false">IF($A112="","",INDEX('Data Input'!$D$6:$D$143,MATCH($A112,'Data Input'!$S$6:$S$143,0)))</f>
        <v/>
      </c>
      <c r="D112" s="28" t="str">
        <f aca="false">IF($A112="","",INDEX('Data Input'!$L$6:$L$143,MATCH($A112,'Data Input'!$S$6:$S$143,0)))</f>
        <v/>
      </c>
      <c r="E112" s="26" t="str">
        <f aca="false">IF($A112="","",IF(D112&gt;5,"Severe",IF(D112&gt;3,"Moderate","Minor")))</f>
        <v/>
      </c>
      <c r="F112" s="26" t="str">
        <f aca="false">IF($A112="","",INDEX('Data Input'!$F$6:$F$143,MATCH($A112,'Data Input'!$S$6:$S$143,0)))</f>
        <v/>
      </c>
      <c r="G112" s="26" t="str">
        <f aca="false">IF($A112="","",INDEX('Data Input'!$H$6:$H$143,MATCH($A112,'Data Input'!$S$6:$S$143,0)))</f>
        <v/>
      </c>
      <c r="H112" s="29" t="str">
        <f aca="false">IF($A112="","",INDEX('Data Input'!$I$6:$I$143,MATCH($A112,'Data Input'!$S$6:$S$143,0)))</f>
        <v/>
      </c>
      <c r="I112" s="30" t="str">
        <f aca="false">IF($A112="","",INDEX('Data Input'!$M$6:$M$143,MATCH($A112,'Data Input'!$S$6:$S$143,0)))</f>
        <v/>
      </c>
      <c r="J112" s="26" t="str">
        <f aca="false">IF($A112="","",IFERROR(IF(INDEX('Data Input'!$Q$6:$Q$143,MATCH($A112,'Data Input'!$S$6:$S$143,0))="","",INDEX('Data Input'!$Q$6:$Q$143,MATCH($A112,'Data Input'!$S$6:$S$143,0))),""))</f>
        <v/>
      </c>
      <c r="K112" s="26" t="str">
        <f aca="false">IF($A112="","",IFERROR(IF(INDEX('Data Input'!$R$6:$R$143,MATCH($A112,'Data Input'!$S$6:$S$143,0))="","",INDEX('Data Input'!$R$6:$R$143,MATCH($A112,'Data Input'!$S$6:$S$143,0))),""))</f>
        <v/>
      </c>
    </row>
    <row r="113" customFormat="false" ht="15" hidden="false" customHeight="true" outlineLevel="0" collapsed="false">
      <c r="A113" s="25" t="str">
        <f aca="false">IF(108&lt;=$B$3,108,"")</f>
        <v/>
      </c>
      <c r="B113" s="26" t="str">
        <f aca="false">IF($A113="","",INDEX('Data Input'!$C$6:$C$143,MATCH($A113,'Data Input'!$S$6:$S$143,0)))</f>
        <v/>
      </c>
      <c r="C113" s="27" t="str">
        <f aca="false">IF($A113="","",INDEX('Data Input'!$D$6:$D$143,MATCH($A113,'Data Input'!$S$6:$S$143,0)))</f>
        <v/>
      </c>
      <c r="D113" s="28" t="str">
        <f aca="false">IF($A113="","",INDEX('Data Input'!$L$6:$L$143,MATCH($A113,'Data Input'!$S$6:$S$143,0)))</f>
        <v/>
      </c>
      <c r="E113" s="26" t="str">
        <f aca="false">IF($A113="","",IF(D113&gt;5,"Severe",IF(D113&gt;3,"Moderate","Minor")))</f>
        <v/>
      </c>
      <c r="F113" s="26" t="str">
        <f aca="false">IF($A113="","",INDEX('Data Input'!$F$6:$F$143,MATCH($A113,'Data Input'!$S$6:$S$143,0)))</f>
        <v/>
      </c>
      <c r="G113" s="26" t="str">
        <f aca="false">IF($A113="","",INDEX('Data Input'!$H$6:$H$143,MATCH($A113,'Data Input'!$S$6:$S$143,0)))</f>
        <v/>
      </c>
      <c r="H113" s="29" t="str">
        <f aca="false">IF($A113="","",INDEX('Data Input'!$I$6:$I$143,MATCH($A113,'Data Input'!$S$6:$S$143,0)))</f>
        <v/>
      </c>
      <c r="I113" s="30" t="str">
        <f aca="false">IF($A113="","",INDEX('Data Input'!$M$6:$M$143,MATCH($A113,'Data Input'!$S$6:$S$143,0)))</f>
        <v/>
      </c>
      <c r="J113" s="26" t="str">
        <f aca="false">IF($A113="","",IFERROR(IF(INDEX('Data Input'!$Q$6:$Q$143,MATCH($A113,'Data Input'!$S$6:$S$143,0))="","",INDEX('Data Input'!$Q$6:$Q$143,MATCH($A113,'Data Input'!$S$6:$S$143,0))),""))</f>
        <v/>
      </c>
      <c r="K113" s="26" t="str">
        <f aca="false">IF($A113="","",IFERROR(IF(INDEX('Data Input'!$R$6:$R$143,MATCH($A113,'Data Input'!$S$6:$S$143,0))="","",INDEX('Data Input'!$R$6:$R$143,MATCH($A113,'Data Input'!$S$6:$S$143,0))),""))</f>
        <v/>
      </c>
    </row>
    <row r="114" customFormat="false" ht="15" hidden="false" customHeight="true" outlineLevel="0" collapsed="false">
      <c r="A114" s="25" t="str">
        <f aca="false">IF(109&lt;=$B$3,109,"")</f>
        <v/>
      </c>
      <c r="B114" s="26" t="str">
        <f aca="false">IF($A114="","",INDEX('Data Input'!$C$6:$C$143,MATCH($A114,'Data Input'!$S$6:$S$143,0)))</f>
        <v/>
      </c>
      <c r="C114" s="27" t="str">
        <f aca="false">IF($A114="","",INDEX('Data Input'!$D$6:$D$143,MATCH($A114,'Data Input'!$S$6:$S$143,0)))</f>
        <v/>
      </c>
      <c r="D114" s="28" t="str">
        <f aca="false">IF($A114="","",INDEX('Data Input'!$L$6:$L$143,MATCH($A114,'Data Input'!$S$6:$S$143,0)))</f>
        <v/>
      </c>
      <c r="E114" s="26" t="str">
        <f aca="false">IF($A114="","",IF(D114&gt;5,"Severe",IF(D114&gt;3,"Moderate","Minor")))</f>
        <v/>
      </c>
      <c r="F114" s="26" t="str">
        <f aca="false">IF($A114="","",INDEX('Data Input'!$F$6:$F$143,MATCH($A114,'Data Input'!$S$6:$S$143,0)))</f>
        <v/>
      </c>
      <c r="G114" s="26" t="str">
        <f aca="false">IF($A114="","",INDEX('Data Input'!$H$6:$H$143,MATCH($A114,'Data Input'!$S$6:$S$143,0)))</f>
        <v/>
      </c>
      <c r="H114" s="29" t="str">
        <f aca="false">IF($A114="","",INDEX('Data Input'!$I$6:$I$143,MATCH($A114,'Data Input'!$S$6:$S$143,0)))</f>
        <v/>
      </c>
      <c r="I114" s="30" t="str">
        <f aca="false">IF($A114="","",INDEX('Data Input'!$M$6:$M$143,MATCH($A114,'Data Input'!$S$6:$S$143,0)))</f>
        <v/>
      </c>
      <c r="J114" s="26" t="str">
        <f aca="false">IF($A114="","",IFERROR(IF(INDEX('Data Input'!$Q$6:$Q$143,MATCH($A114,'Data Input'!$S$6:$S$143,0))="","",INDEX('Data Input'!$Q$6:$Q$143,MATCH($A114,'Data Input'!$S$6:$S$143,0))),""))</f>
        <v/>
      </c>
      <c r="K114" s="26" t="str">
        <f aca="false">IF($A114="","",IFERROR(IF(INDEX('Data Input'!$R$6:$R$143,MATCH($A114,'Data Input'!$S$6:$S$143,0))="","",INDEX('Data Input'!$R$6:$R$143,MATCH($A114,'Data Input'!$S$6:$S$143,0))),""))</f>
        <v/>
      </c>
    </row>
    <row r="115" customFormat="false" ht="15" hidden="false" customHeight="true" outlineLevel="0" collapsed="false">
      <c r="A115" s="25" t="str">
        <f aca="false">IF(110&lt;=$B$3,110,"")</f>
        <v/>
      </c>
      <c r="B115" s="26" t="str">
        <f aca="false">IF($A115="","",INDEX('Data Input'!$C$6:$C$143,MATCH($A115,'Data Input'!$S$6:$S$143,0)))</f>
        <v/>
      </c>
      <c r="C115" s="27" t="str">
        <f aca="false">IF($A115="","",INDEX('Data Input'!$D$6:$D$143,MATCH($A115,'Data Input'!$S$6:$S$143,0)))</f>
        <v/>
      </c>
      <c r="D115" s="28" t="str">
        <f aca="false">IF($A115="","",INDEX('Data Input'!$L$6:$L$143,MATCH($A115,'Data Input'!$S$6:$S$143,0)))</f>
        <v/>
      </c>
      <c r="E115" s="26" t="str">
        <f aca="false">IF($A115="","",IF(D115&gt;5,"Severe",IF(D115&gt;3,"Moderate","Minor")))</f>
        <v/>
      </c>
      <c r="F115" s="26" t="str">
        <f aca="false">IF($A115="","",INDEX('Data Input'!$F$6:$F$143,MATCH($A115,'Data Input'!$S$6:$S$143,0)))</f>
        <v/>
      </c>
      <c r="G115" s="26" t="str">
        <f aca="false">IF($A115="","",INDEX('Data Input'!$H$6:$H$143,MATCH($A115,'Data Input'!$S$6:$S$143,0)))</f>
        <v/>
      </c>
      <c r="H115" s="29" t="str">
        <f aca="false">IF($A115="","",INDEX('Data Input'!$I$6:$I$143,MATCH($A115,'Data Input'!$S$6:$S$143,0)))</f>
        <v/>
      </c>
      <c r="I115" s="30" t="str">
        <f aca="false">IF($A115="","",INDEX('Data Input'!$M$6:$M$143,MATCH($A115,'Data Input'!$S$6:$S$143,0)))</f>
        <v/>
      </c>
      <c r="J115" s="26" t="str">
        <f aca="false">IF($A115="","",IFERROR(IF(INDEX('Data Input'!$Q$6:$Q$143,MATCH($A115,'Data Input'!$S$6:$S$143,0))="","",INDEX('Data Input'!$Q$6:$Q$143,MATCH($A115,'Data Input'!$S$6:$S$143,0))),""))</f>
        <v/>
      </c>
      <c r="K115" s="26" t="str">
        <f aca="false">IF($A115="","",IFERROR(IF(INDEX('Data Input'!$R$6:$R$143,MATCH($A115,'Data Input'!$S$6:$S$143,0))="","",INDEX('Data Input'!$R$6:$R$143,MATCH($A115,'Data Input'!$S$6:$S$143,0))),""))</f>
        <v/>
      </c>
    </row>
    <row r="116" customFormat="false" ht="15" hidden="false" customHeight="true" outlineLevel="0" collapsed="false">
      <c r="A116" s="25" t="str">
        <f aca="false">IF(111&lt;=$B$3,111,"")</f>
        <v/>
      </c>
      <c r="B116" s="26" t="str">
        <f aca="false">IF($A116="","",INDEX('Data Input'!$C$6:$C$143,MATCH($A116,'Data Input'!$S$6:$S$143,0)))</f>
        <v/>
      </c>
      <c r="C116" s="27" t="str">
        <f aca="false">IF($A116="","",INDEX('Data Input'!$D$6:$D$143,MATCH($A116,'Data Input'!$S$6:$S$143,0)))</f>
        <v/>
      </c>
      <c r="D116" s="28" t="str">
        <f aca="false">IF($A116="","",INDEX('Data Input'!$L$6:$L$143,MATCH($A116,'Data Input'!$S$6:$S$143,0)))</f>
        <v/>
      </c>
      <c r="E116" s="26" t="str">
        <f aca="false">IF($A116="","",IF(D116&gt;5,"Severe",IF(D116&gt;3,"Moderate","Minor")))</f>
        <v/>
      </c>
      <c r="F116" s="26" t="str">
        <f aca="false">IF($A116="","",INDEX('Data Input'!$F$6:$F$143,MATCH($A116,'Data Input'!$S$6:$S$143,0)))</f>
        <v/>
      </c>
      <c r="G116" s="26" t="str">
        <f aca="false">IF($A116="","",INDEX('Data Input'!$H$6:$H$143,MATCH($A116,'Data Input'!$S$6:$S$143,0)))</f>
        <v/>
      </c>
      <c r="H116" s="29" t="str">
        <f aca="false">IF($A116="","",INDEX('Data Input'!$I$6:$I$143,MATCH($A116,'Data Input'!$S$6:$S$143,0)))</f>
        <v/>
      </c>
      <c r="I116" s="30" t="str">
        <f aca="false">IF($A116="","",INDEX('Data Input'!$M$6:$M$143,MATCH($A116,'Data Input'!$S$6:$S$143,0)))</f>
        <v/>
      </c>
      <c r="J116" s="26" t="str">
        <f aca="false">IF($A116="","",IFERROR(IF(INDEX('Data Input'!$Q$6:$Q$143,MATCH($A116,'Data Input'!$S$6:$S$143,0))="","",INDEX('Data Input'!$Q$6:$Q$143,MATCH($A116,'Data Input'!$S$6:$S$143,0))),""))</f>
        <v/>
      </c>
      <c r="K116" s="26" t="str">
        <f aca="false">IF($A116="","",IFERROR(IF(INDEX('Data Input'!$R$6:$R$143,MATCH($A116,'Data Input'!$S$6:$S$143,0))="","",INDEX('Data Input'!$R$6:$R$143,MATCH($A116,'Data Input'!$S$6:$S$143,0))),""))</f>
        <v/>
      </c>
    </row>
    <row r="117" customFormat="false" ht="15" hidden="false" customHeight="true" outlineLevel="0" collapsed="false">
      <c r="A117" s="25" t="str">
        <f aca="false">IF(112&lt;=$B$3,112,"")</f>
        <v/>
      </c>
      <c r="B117" s="26" t="str">
        <f aca="false">IF($A117="","",INDEX('Data Input'!$C$6:$C$143,MATCH($A117,'Data Input'!$S$6:$S$143,0)))</f>
        <v/>
      </c>
      <c r="C117" s="27" t="str">
        <f aca="false">IF($A117="","",INDEX('Data Input'!$D$6:$D$143,MATCH($A117,'Data Input'!$S$6:$S$143,0)))</f>
        <v/>
      </c>
      <c r="D117" s="28" t="str">
        <f aca="false">IF($A117="","",INDEX('Data Input'!$L$6:$L$143,MATCH($A117,'Data Input'!$S$6:$S$143,0)))</f>
        <v/>
      </c>
      <c r="E117" s="26" t="str">
        <f aca="false">IF($A117="","",IF(D117&gt;5,"Severe",IF(D117&gt;3,"Moderate","Minor")))</f>
        <v/>
      </c>
      <c r="F117" s="26" t="str">
        <f aca="false">IF($A117="","",INDEX('Data Input'!$F$6:$F$143,MATCH($A117,'Data Input'!$S$6:$S$143,0)))</f>
        <v/>
      </c>
      <c r="G117" s="26" t="str">
        <f aca="false">IF($A117="","",INDEX('Data Input'!$H$6:$H$143,MATCH($A117,'Data Input'!$S$6:$S$143,0)))</f>
        <v/>
      </c>
      <c r="H117" s="29" t="str">
        <f aca="false">IF($A117="","",INDEX('Data Input'!$I$6:$I$143,MATCH($A117,'Data Input'!$S$6:$S$143,0)))</f>
        <v/>
      </c>
      <c r="I117" s="30" t="str">
        <f aca="false">IF($A117="","",INDEX('Data Input'!$M$6:$M$143,MATCH($A117,'Data Input'!$S$6:$S$143,0)))</f>
        <v/>
      </c>
      <c r="J117" s="26" t="str">
        <f aca="false">IF($A117="","",IFERROR(IF(INDEX('Data Input'!$Q$6:$Q$143,MATCH($A117,'Data Input'!$S$6:$S$143,0))="","",INDEX('Data Input'!$Q$6:$Q$143,MATCH($A117,'Data Input'!$S$6:$S$143,0))),""))</f>
        <v/>
      </c>
      <c r="K117" s="26" t="str">
        <f aca="false">IF($A117="","",IFERROR(IF(INDEX('Data Input'!$R$6:$R$143,MATCH($A117,'Data Input'!$S$6:$S$143,0))="","",INDEX('Data Input'!$R$6:$R$143,MATCH($A117,'Data Input'!$S$6:$S$143,0))),""))</f>
        <v/>
      </c>
    </row>
    <row r="118" customFormat="false" ht="15" hidden="false" customHeight="true" outlineLevel="0" collapsed="false">
      <c r="A118" s="25" t="str">
        <f aca="false">IF(113&lt;=$B$3,113,"")</f>
        <v/>
      </c>
      <c r="B118" s="26" t="str">
        <f aca="false">IF($A118="","",INDEX('Data Input'!$C$6:$C$143,MATCH($A118,'Data Input'!$S$6:$S$143,0)))</f>
        <v/>
      </c>
      <c r="C118" s="27" t="str">
        <f aca="false">IF($A118="","",INDEX('Data Input'!$D$6:$D$143,MATCH($A118,'Data Input'!$S$6:$S$143,0)))</f>
        <v/>
      </c>
      <c r="D118" s="28" t="str">
        <f aca="false">IF($A118="","",INDEX('Data Input'!$L$6:$L$143,MATCH($A118,'Data Input'!$S$6:$S$143,0)))</f>
        <v/>
      </c>
      <c r="E118" s="26" t="str">
        <f aca="false">IF($A118="","",IF(D118&gt;5,"Severe",IF(D118&gt;3,"Moderate","Minor")))</f>
        <v/>
      </c>
      <c r="F118" s="26" t="str">
        <f aca="false">IF($A118="","",INDEX('Data Input'!$F$6:$F$143,MATCH($A118,'Data Input'!$S$6:$S$143,0)))</f>
        <v/>
      </c>
      <c r="G118" s="26" t="str">
        <f aca="false">IF($A118="","",INDEX('Data Input'!$H$6:$H$143,MATCH($A118,'Data Input'!$S$6:$S$143,0)))</f>
        <v/>
      </c>
      <c r="H118" s="29" t="str">
        <f aca="false">IF($A118="","",INDEX('Data Input'!$I$6:$I$143,MATCH($A118,'Data Input'!$S$6:$S$143,0)))</f>
        <v/>
      </c>
      <c r="I118" s="30" t="str">
        <f aca="false">IF($A118="","",INDEX('Data Input'!$M$6:$M$143,MATCH($A118,'Data Input'!$S$6:$S$143,0)))</f>
        <v/>
      </c>
      <c r="J118" s="26" t="str">
        <f aca="false">IF($A118="","",IFERROR(IF(INDEX('Data Input'!$Q$6:$Q$143,MATCH($A118,'Data Input'!$S$6:$S$143,0))="","",INDEX('Data Input'!$Q$6:$Q$143,MATCH($A118,'Data Input'!$S$6:$S$143,0))),""))</f>
        <v/>
      </c>
      <c r="K118" s="26" t="str">
        <f aca="false">IF($A118="","",IFERROR(IF(INDEX('Data Input'!$R$6:$R$143,MATCH($A118,'Data Input'!$S$6:$S$143,0))="","",INDEX('Data Input'!$R$6:$R$143,MATCH($A118,'Data Input'!$S$6:$S$143,0))),""))</f>
        <v/>
      </c>
    </row>
    <row r="119" customFormat="false" ht="15" hidden="false" customHeight="true" outlineLevel="0" collapsed="false">
      <c r="A119" s="25" t="str">
        <f aca="false">IF(114&lt;=$B$3,114,"")</f>
        <v/>
      </c>
      <c r="B119" s="26" t="str">
        <f aca="false">IF($A119="","",INDEX('Data Input'!$C$6:$C$143,MATCH($A119,'Data Input'!$S$6:$S$143,0)))</f>
        <v/>
      </c>
      <c r="C119" s="27" t="str">
        <f aca="false">IF($A119="","",INDEX('Data Input'!$D$6:$D$143,MATCH($A119,'Data Input'!$S$6:$S$143,0)))</f>
        <v/>
      </c>
      <c r="D119" s="28" t="str">
        <f aca="false">IF($A119="","",INDEX('Data Input'!$L$6:$L$143,MATCH($A119,'Data Input'!$S$6:$S$143,0)))</f>
        <v/>
      </c>
      <c r="E119" s="26" t="str">
        <f aca="false">IF($A119="","",IF(D119&gt;5,"Severe",IF(D119&gt;3,"Moderate","Minor")))</f>
        <v/>
      </c>
      <c r="F119" s="26" t="str">
        <f aca="false">IF($A119="","",INDEX('Data Input'!$F$6:$F$143,MATCH($A119,'Data Input'!$S$6:$S$143,0)))</f>
        <v/>
      </c>
      <c r="G119" s="26" t="str">
        <f aca="false">IF($A119="","",INDEX('Data Input'!$H$6:$H$143,MATCH($A119,'Data Input'!$S$6:$S$143,0)))</f>
        <v/>
      </c>
      <c r="H119" s="29" t="str">
        <f aca="false">IF($A119="","",INDEX('Data Input'!$I$6:$I$143,MATCH($A119,'Data Input'!$S$6:$S$143,0)))</f>
        <v/>
      </c>
      <c r="I119" s="30" t="str">
        <f aca="false">IF($A119="","",INDEX('Data Input'!$M$6:$M$143,MATCH($A119,'Data Input'!$S$6:$S$143,0)))</f>
        <v/>
      </c>
      <c r="J119" s="26" t="str">
        <f aca="false">IF($A119="","",IFERROR(IF(INDEX('Data Input'!$Q$6:$Q$143,MATCH($A119,'Data Input'!$S$6:$S$143,0))="","",INDEX('Data Input'!$Q$6:$Q$143,MATCH($A119,'Data Input'!$S$6:$S$143,0))),""))</f>
        <v/>
      </c>
      <c r="K119" s="26" t="str">
        <f aca="false">IF($A119="","",IFERROR(IF(INDEX('Data Input'!$R$6:$R$143,MATCH($A119,'Data Input'!$S$6:$S$143,0))="","",INDEX('Data Input'!$R$6:$R$143,MATCH($A119,'Data Input'!$S$6:$S$143,0))),""))</f>
        <v/>
      </c>
    </row>
    <row r="120" customFormat="false" ht="15" hidden="false" customHeight="true" outlineLevel="0" collapsed="false">
      <c r="A120" s="25" t="str">
        <f aca="false">IF(115&lt;=$B$3,115,"")</f>
        <v/>
      </c>
      <c r="B120" s="26" t="str">
        <f aca="false">IF($A120="","",INDEX('Data Input'!$C$6:$C$143,MATCH($A120,'Data Input'!$S$6:$S$143,0)))</f>
        <v/>
      </c>
      <c r="C120" s="27" t="str">
        <f aca="false">IF($A120="","",INDEX('Data Input'!$D$6:$D$143,MATCH($A120,'Data Input'!$S$6:$S$143,0)))</f>
        <v/>
      </c>
      <c r="D120" s="28" t="str">
        <f aca="false">IF($A120="","",INDEX('Data Input'!$L$6:$L$143,MATCH($A120,'Data Input'!$S$6:$S$143,0)))</f>
        <v/>
      </c>
      <c r="E120" s="26" t="str">
        <f aca="false">IF($A120="","",IF(D120&gt;5,"Severe",IF(D120&gt;3,"Moderate","Minor")))</f>
        <v/>
      </c>
      <c r="F120" s="26" t="str">
        <f aca="false">IF($A120="","",INDEX('Data Input'!$F$6:$F$143,MATCH($A120,'Data Input'!$S$6:$S$143,0)))</f>
        <v/>
      </c>
      <c r="G120" s="26" t="str">
        <f aca="false">IF($A120="","",INDEX('Data Input'!$H$6:$H$143,MATCH($A120,'Data Input'!$S$6:$S$143,0)))</f>
        <v/>
      </c>
      <c r="H120" s="29" t="str">
        <f aca="false">IF($A120="","",INDEX('Data Input'!$I$6:$I$143,MATCH($A120,'Data Input'!$S$6:$S$143,0)))</f>
        <v/>
      </c>
      <c r="I120" s="30" t="str">
        <f aca="false">IF($A120="","",INDEX('Data Input'!$M$6:$M$143,MATCH($A120,'Data Input'!$S$6:$S$143,0)))</f>
        <v/>
      </c>
      <c r="J120" s="26" t="str">
        <f aca="false">IF($A120="","",IFERROR(IF(INDEX('Data Input'!$Q$6:$Q$143,MATCH($A120,'Data Input'!$S$6:$S$143,0))="","",INDEX('Data Input'!$Q$6:$Q$143,MATCH($A120,'Data Input'!$S$6:$S$143,0))),""))</f>
        <v/>
      </c>
      <c r="K120" s="26" t="str">
        <f aca="false">IF($A120="","",IFERROR(IF(INDEX('Data Input'!$R$6:$R$143,MATCH($A120,'Data Input'!$S$6:$S$143,0))="","",INDEX('Data Input'!$R$6:$R$143,MATCH($A120,'Data Input'!$S$6:$S$143,0))),""))</f>
        <v/>
      </c>
    </row>
    <row r="121" customFormat="false" ht="15" hidden="false" customHeight="true" outlineLevel="0" collapsed="false">
      <c r="A121" s="25" t="str">
        <f aca="false">IF(116&lt;=$B$3,116,"")</f>
        <v/>
      </c>
      <c r="B121" s="26" t="str">
        <f aca="false">IF($A121="","",INDEX('Data Input'!$C$6:$C$143,MATCH($A121,'Data Input'!$S$6:$S$143,0)))</f>
        <v/>
      </c>
      <c r="C121" s="27" t="str">
        <f aca="false">IF($A121="","",INDEX('Data Input'!$D$6:$D$143,MATCH($A121,'Data Input'!$S$6:$S$143,0)))</f>
        <v/>
      </c>
      <c r="D121" s="28" t="str">
        <f aca="false">IF($A121="","",INDEX('Data Input'!$L$6:$L$143,MATCH($A121,'Data Input'!$S$6:$S$143,0)))</f>
        <v/>
      </c>
      <c r="E121" s="26" t="str">
        <f aca="false">IF($A121="","",IF(D121&gt;5,"Severe",IF(D121&gt;3,"Moderate","Minor")))</f>
        <v/>
      </c>
      <c r="F121" s="26" t="str">
        <f aca="false">IF($A121="","",INDEX('Data Input'!$F$6:$F$143,MATCH($A121,'Data Input'!$S$6:$S$143,0)))</f>
        <v/>
      </c>
      <c r="G121" s="26" t="str">
        <f aca="false">IF($A121="","",INDEX('Data Input'!$H$6:$H$143,MATCH($A121,'Data Input'!$S$6:$S$143,0)))</f>
        <v/>
      </c>
      <c r="H121" s="29" t="str">
        <f aca="false">IF($A121="","",INDEX('Data Input'!$I$6:$I$143,MATCH($A121,'Data Input'!$S$6:$S$143,0)))</f>
        <v/>
      </c>
      <c r="I121" s="30" t="str">
        <f aca="false">IF($A121="","",INDEX('Data Input'!$M$6:$M$143,MATCH($A121,'Data Input'!$S$6:$S$143,0)))</f>
        <v/>
      </c>
      <c r="J121" s="26" t="str">
        <f aca="false">IF($A121="","",IFERROR(IF(INDEX('Data Input'!$Q$6:$Q$143,MATCH($A121,'Data Input'!$S$6:$S$143,0))="","",INDEX('Data Input'!$Q$6:$Q$143,MATCH($A121,'Data Input'!$S$6:$S$143,0))),""))</f>
        <v/>
      </c>
      <c r="K121" s="26" t="str">
        <f aca="false">IF($A121="","",IFERROR(IF(INDEX('Data Input'!$R$6:$R$143,MATCH($A121,'Data Input'!$S$6:$S$143,0))="","",INDEX('Data Input'!$R$6:$R$143,MATCH($A121,'Data Input'!$S$6:$S$143,0))),""))</f>
        <v/>
      </c>
    </row>
    <row r="122" customFormat="false" ht="15" hidden="false" customHeight="true" outlineLevel="0" collapsed="false">
      <c r="A122" s="25" t="str">
        <f aca="false">IF(117&lt;=$B$3,117,"")</f>
        <v/>
      </c>
      <c r="B122" s="26" t="str">
        <f aca="false">IF($A122="","",INDEX('Data Input'!$C$6:$C$143,MATCH($A122,'Data Input'!$S$6:$S$143,0)))</f>
        <v/>
      </c>
      <c r="C122" s="27" t="str">
        <f aca="false">IF($A122="","",INDEX('Data Input'!$D$6:$D$143,MATCH($A122,'Data Input'!$S$6:$S$143,0)))</f>
        <v/>
      </c>
      <c r="D122" s="28" t="str">
        <f aca="false">IF($A122="","",INDEX('Data Input'!$L$6:$L$143,MATCH($A122,'Data Input'!$S$6:$S$143,0)))</f>
        <v/>
      </c>
      <c r="E122" s="26" t="str">
        <f aca="false">IF($A122="","",IF(D122&gt;5,"Severe",IF(D122&gt;3,"Moderate","Minor")))</f>
        <v/>
      </c>
      <c r="F122" s="26" t="str">
        <f aca="false">IF($A122="","",INDEX('Data Input'!$F$6:$F$143,MATCH($A122,'Data Input'!$S$6:$S$143,0)))</f>
        <v/>
      </c>
      <c r="G122" s="26" t="str">
        <f aca="false">IF($A122="","",INDEX('Data Input'!$H$6:$H$143,MATCH($A122,'Data Input'!$S$6:$S$143,0)))</f>
        <v/>
      </c>
      <c r="H122" s="29" t="str">
        <f aca="false">IF($A122="","",INDEX('Data Input'!$I$6:$I$143,MATCH($A122,'Data Input'!$S$6:$S$143,0)))</f>
        <v/>
      </c>
      <c r="I122" s="30" t="str">
        <f aca="false">IF($A122="","",INDEX('Data Input'!$M$6:$M$143,MATCH($A122,'Data Input'!$S$6:$S$143,0)))</f>
        <v/>
      </c>
      <c r="J122" s="26" t="str">
        <f aca="false">IF($A122="","",IFERROR(IF(INDEX('Data Input'!$Q$6:$Q$143,MATCH($A122,'Data Input'!$S$6:$S$143,0))="","",INDEX('Data Input'!$Q$6:$Q$143,MATCH($A122,'Data Input'!$S$6:$S$143,0))),""))</f>
        <v/>
      </c>
      <c r="K122" s="26" t="str">
        <f aca="false">IF($A122="","",IFERROR(IF(INDEX('Data Input'!$R$6:$R$143,MATCH($A122,'Data Input'!$S$6:$S$143,0))="","",INDEX('Data Input'!$R$6:$R$143,MATCH($A122,'Data Input'!$S$6:$S$143,0))),""))</f>
        <v/>
      </c>
    </row>
    <row r="123" customFormat="false" ht="15" hidden="false" customHeight="true" outlineLevel="0" collapsed="false">
      <c r="A123" s="25" t="str">
        <f aca="false">IF(118&lt;=$B$3,118,"")</f>
        <v/>
      </c>
      <c r="B123" s="26" t="str">
        <f aca="false">IF($A123="","",INDEX('Data Input'!$C$6:$C$143,MATCH($A123,'Data Input'!$S$6:$S$143,0)))</f>
        <v/>
      </c>
      <c r="C123" s="27" t="str">
        <f aca="false">IF($A123="","",INDEX('Data Input'!$D$6:$D$143,MATCH($A123,'Data Input'!$S$6:$S$143,0)))</f>
        <v/>
      </c>
      <c r="D123" s="28" t="str">
        <f aca="false">IF($A123="","",INDEX('Data Input'!$L$6:$L$143,MATCH($A123,'Data Input'!$S$6:$S$143,0)))</f>
        <v/>
      </c>
      <c r="E123" s="26" t="str">
        <f aca="false">IF($A123="","",IF(D123&gt;5,"Severe",IF(D123&gt;3,"Moderate","Minor")))</f>
        <v/>
      </c>
      <c r="F123" s="26" t="str">
        <f aca="false">IF($A123="","",INDEX('Data Input'!$F$6:$F$143,MATCH($A123,'Data Input'!$S$6:$S$143,0)))</f>
        <v/>
      </c>
      <c r="G123" s="26" t="str">
        <f aca="false">IF($A123="","",INDEX('Data Input'!$H$6:$H$143,MATCH($A123,'Data Input'!$S$6:$S$143,0)))</f>
        <v/>
      </c>
      <c r="H123" s="29" t="str">
        <f aca="false">IF($A123="","",INDEX('Data Input'!$I$6:$I$143,MATCH($A123,'Data Input'!$S$6:$S$143,0)))</f>
        <v/>
      </c>
      <c r="I123" s="30" t="str">
        <f aca="false">IF($A123="","",INDEX('Data Input'!$M$6:$M$143,MATCH($A123,'Data Input'!$S$6:$S$143,0)))</f>
        <v/>
      </c>
      <c r="J123" s="26" t="str">
        <f aca="false">IF($A123="","",IFERROR(IF(INDEX('Data Input'!$Q$6:$Q$143,MATCH($A123,'Data Input'!$S$6:$S$143,0))="","",INDEX('Data Input'!$Q$6:$Q$143,MATCH($A123,'Data Input'!$S$6:$S$143,0))),""))</f>
        <v/>
      </c>
      <c r="K123" s="26" t="str">
        <f aca="false">IF($A123="","",IFERROR(IF(INDEX('Data Input'!$R$6:$R$143,MATCH($A123,'Data Input'!$S$6:$S$143,0))="","",INDEX('Data Input'!$R$6:$R$143,MATCH($A123,'Data Input'!$S$6:$S$143,0))),""))</f>
        <v/>
      </c>
    </row>
    <row r="124" customFormat="false" ht="15" hidden="false" customHeight="true" outlineLevel="0" collapsed="false">
      <c r="A124" s="25" t="str">
        <f aca="false">IF(119&lt;=$B$3,119,"")</f>
        <v/>
      </c>
      <c r="B124" s="26" t="str">
        <f aca="false">IF($A124="","",INDEX('Data Input'!$C$6:$C$143,MATCH($A124,'Data Input'!$S$6:$S$143,0)))</f>
        <v/>
      </c>
      <c r="C124" s="27" t="str">
        <f aca="false">IF($A124="","",INDEX('Data Input'!$D$6:$D$143,MATCH($A124,'Data Input'!$S$6:$S$143,0)))</f>
        <v/>
      </c>
      <c r="D124" s="28" t="str">
        <f aca="false">IF($A124="","",INDEX('Data Input'!$L$6:$L$143,MATCH($A124,'Data Input'!$S$6:$S$143,0)))</f>
        <v/>
      </c>
      <c r="E124" s="26" t="str">
        <f aca="false">IF($A124="","",IF(D124&gt;5,"Severe",IF(D124&gt;3,"Moderate","Minor")))</f>
        <v/>
      </c>
      <c r="F124" s="26" t="str">
        <f aca="false">IF($A124="","",INDEX('Data Input'!$F$6:$F$143,MATCH($A124,'Data Input'!$S$6:$S$143,0)))</f>
        <v/>
      </c>
      <c r="G124" s="26" t="str">
        <f aca="false">IF($A124="","",INDEX('Data Input'!$H$6:$H$143,MATCH($A124,'Data Input'!$S$6:$S$143,0)))</f>
        <v/>
      </c>
      <c r="H124" s="29" t="str">
        <f aca="false">IF($A124="","",INDEX('Data Input'!$I$6:$I$143,MATCH($A124,'Data Input'!$S$6:$S$143,0)))</f>
        <v/>
      </c>
      <c r="I124" s="30" t="str">
        <f aca="false">IF($A124="","",INDEX('Data Input'!$M$6:$M$143,MATCH($A124,'Data Input'!$S$6:$S$143,0)))</f>
        <v/>
      </c>
      <c r="J124" s="26" t="str">
        <f aca="false">IF($A124="","",IFERROR(IF(INDEX('Data Input'!$Q$6:$Q$143,MATCH($A124,'Data Input'!$S$6:$S$143,0))="","",INDEX('Data Input'!$Q$6:$Q$143,MATCH($A124,'Data Input'!$S$6:$S$143,0))),""))</f>
        <v/>
      </c>
      <c r="K124" s="26" t="str">
        <f aca="false">IF($A124="","",IFERROR(IF(INDEX('Data Input'!$R$6:$R$143,MATCH($A124,'Data Input'!$S$6:$S$143,0))="","",INDEX('Data Input'!$R$6:$R$143,MATCH($A124,'Data Input'!$S$6:$S$143,0))),""))</f>
        <v/>
      </c>
    </row>
    <row r="125" customFormat="false" ht="15" hidden="false" customHeight="true" outlineLevel="0" collapsed="false">
      <c r="A125" s="25" t="str">
        <f aca="false">IF(120&lt;=$B$3,120,"")</f>
        <v/>
      </c>
      <c r="B125" s="26" t="str">
        <f aca="false">IF($A125="","",INDEX('Data Input'!$C$6:$C$143,MATCH($A125,'Data Input'!$S$6:$S$143,0)))</f>
        <v/>
      </c>
      <c r="C125" s="27" t="str">
        <f aca="false">IF($A125="","",INDEX('Data Input'!$D$6:$D$143,MATCH($A125,'Data Input'!$S$6:$S$143,0)))</f>
        <v/>
      </c>
      <c r="D125" s="28" t="str">
        <f aca="false">IF($A125="","",INDEX('Data Input'!$L$6:$L$143,MATCH($A125,'Data Input'!$S$6:$S$143,0)))</f>
        <v/>
      </c>
      <c r="E125" s="26" t="str">
        <f aca="false">IF($A125="","",IF(D125&gt;5,"Severe",IF(D125&gt;3,"Moderate","Minor")))</f>
        <v/>
      </c>
      <c r="F125" s="26" t="str">
        <f aca="false">IF($A125="","",INDEX('Data Input'!$F$6:$F$143,MATCH($A125,'Data Input'!$S$6:$S$143,0)))</f>
        <v/>
      </c>
      <c r="G125" s="26" t="str">
        <f aca="false">IF($A125="","",INDEX('Data Input'!$H$6:$H$143,MATCH($A125,'Data Input'!$S$6:$S$143,0)))</f>
        <v/>
      </c>
      <c r="H125" s="29" t="str">
        <f aca="false">IF($A125="","",INDEX('Data Input'!$I$6:$I$143,MATCH($A125,'Data Input'!$S$6:$S$143,0)))</f>
        <v/>
      </c>
      <c r="I125" s="30" t="str">
        <f aca="false">IF($A125="","",INDEX('Data Input'!$M$6:$M$143,MATCH($A125,'Data Input'!$S$6:$S$143,0)))</f>
        <v/>
      </c>
      <c r="J125" s="26" t="str">
        <f aca="false">IF($A125="","",IFERROR(IF(INDEX('Data Input'!$Q$6:$Q$143,MATCH($A125,'Data Input'!$S$6:$S$143,0))="","",INDEX('Data Input'!$Q$6:$Q$143,MATCH($A125,'Data Input'!$S$6:$S$143,0))),""))</f>
        <v/>
      </c>
      <c r="K125" s="26" t="str">
        <f aca="false">IF($A125="","",IFERROR(IF(INDEX('Data Input'!$R$6:$R$143,MATCH($A125,'Data Input'!$S$6:$S$143,0))="","",INDEX('Data Input'!$R$6:$R$143,MATCH($A125,'Data Input'!$S$6:$S$143,0))),""))</f>
        <v/>
      </c>
    </row>
    <row r="126" customFormat="false" ht="15" hidden="false" customHeight="true" outlineLevel="0" collapsed="false">
      <c r="A126" s="25" t="str">
        <f aca="false">IF(121&lt;=$B$3,121,"")</f>
        <v/>
      </c>
      <c r="B126" s="26" t="str">
        <f aca="false">IF($A126="","",INDEX('Data Input'!$C$6:$C$143,MATCH($A126,'Data Input'!$S$6:$S$143,0)))</f>
        <v/>
      </c>
      <c r="C126" s="27" t="str">
        <f aca="false">IF($A126="","",INDEX('Data Input'!$D$6:$D$143,MATCH($A126,'Data Input'!$S$6:$S$143,0)))</f>
        <v/>
      </c>
      <c r="D126" s="28" t="str">
        <f aca="false">IF($A126="","",INDEX('Data Input'!$L$6:$L$143,MATCH($A126,'Data Input'!$S$6:$S$143,0)))</f>
        <v/>
      </c>
      <c r="E126" s="26" t="str">
        <f aca="false">IF($A126="","",IF(D126&gt;5,"Severe",IF(D126&gt;3,"Moderate","Minor")))</f>
        <v/>
      </c>
      <c r="F126" s="26" t="str">
        <f aca="false">IF($A126="","",INDEX('Data Input'!$F$6:$F$143,MATCH($A126,'Data Input'!$S$6:$S$143,0)))</f>
        <v/>
      </c>
      <c r="G126" s="26" t="str">
        <f aca="false">IF($A126="","",INDEX('Data Input'!$H$6:$H$143,MATCH($A126,'Data Input'!$S$6:$S$143,0)))</f>
        <v/>
      </c>
      <c r="H126" s="29" t="str">
        <f aca="false">IF($A126="","",INDEX('Data Input'!$I$6:$I$143,MATCH($A126,'Data Input'!$S$6:$S$143,0)))</f>
        <v/>
      </c>
      <c r="I126" s="30" t="str">
        <f aca="false">IF($A126="","",INDEX('Data Input'!$M$6:$M$143,MATCH($A126,'Data Input'!$S$6:$S$143,0)))</f>
        <v/>
      </c>
      <c r="J126" s="26" t="str">
        <f aca="false">IF($A126="","",IFERROR(IF(INDEX('Data Input'!$Q$6:$Q$143,MATCH($A126,'Data Input'!$S$6:$S$143,0))="","",INDEX('Data Input'!$Q$6:$Q$143,MATCH($A126,'Data Input'!$S$6:$S$143,0))),""))</f>
        <v/>
      </c>
      <c r="K126" s="26" t="str">
        <f aca="false">IF($A126="","",IFERROR(IF(INDEX('Data Input'!$R$6:$R$143,MATCH($A126,'Data Input'!$S$6:$S$143,0))="","",INDEX('Data Input'!$R$6:$R$143,MATCH($A126,'Data Input'!$S$6:$S$143,0))),""))</f>
        <v/>
      </c>
    </row>
    <row r="127" customFormat="false" ht="15" hidden="false" customHeight="true" outlineLevel="0" collapsed="false">
      <c r="A127" s="25" t="str">
        <f aca="false">IF(122&lt;=$B$3,122,"")</f>
        <v/>
      </c>
      <c r="B127" s="26" t="str">
        <f aca="false">IF($A127="","",INDEX('Data Input'!$C$6:$C$143,MATCH($A127,'Data Input'!$S$6:$S$143,0)))</f>
        <v/>
      </c>
      <c r="C127" s="27" t="str">
        <f aca="false">IF($A127="","",INDEX('Data Input'!$D$6:$D$143,MATCH($A127,'Data Input'!$S$6:$S$143,0)))</f>
        <v/>
      </c>
      <c r="D127" s="28" t="str">
        <f aca="false">IF($A127="","",INDEX('Data Input'!$L$6:$L$143,MATCH($A127,'Data Input'!$S$6:$S$143,0)))</f>
        <v/>
      </c>
      <c r="E127" s="26" t="str">
        <f aca="false">IF($A127="","",IF(D127&gt;5,"Severe",IF(D127&gt;3,"Moderate","Minor")))</f>
        <v/>
      </c>
      <c r="F127" s="26" t="str">
        <f aca="false">IF($A127="","",INDEX('Data Input'!$F$6:$F$143,MATCH($A127,'Data Input'!$S$6:$S$143,0)))</f>
        <v/>
      </c>
      <c r="G127" s="26" t="str">
        <f aca="false">IF($A127="","",INDEX('Data Input'!$H$6:$H$143,MATCH($A127,'Data Input'!$S$6:$S$143,0)))</f>
        <v/>
      </c>
      <c r="H127" s="29" t="str">
        <f aca="false">IF($A127="","",INDEX('Data Input'!$I$6:$I$143,MATCH($A127,'Data Input'!$S$6:$S$143,0)))</f>
        <v/>
      </c>
      <c r="I127" s="30" t="str">
        <f aca="false">IF($A127="","",INDEX('Data Input'!$M$6:$M$143,MATCH($A127,'Data Input'!$S$6:$S$143,0)))</f>
        <v/>
      </c>
      <c r="J127" s="26" t="str">
        <f aca="false">IF($A127="","",IFERROR(IF(INDEX('Data Input'!$Q$6:$Q$143,MATCH($A127,'Data Input'!$S$6:$S$143,0))="","",INDEX('Data Input'!$Q$6:$Q$143,MATCH($A127,'Data Input'!$S$6:$S$143,0))),""))</f>
        <v/>
      </c>
      <c r="K127" s="26" t="str">
        <f aca="false">IF($A127="","",IFERROR(IF(INDEX('Data Input'!$R$6:$R$143,MATCH($A127,'Data Input'!$S$6:$S$143,0))="","",INDEX('Data Input'!$R$6:$R$143,MATCH($A127,'Data Input'!$S$6:$S$143,0))),""))</f>
        <v/>
      </c>
    </row>
    <row r="128" customFormat="false" ht="15" hidden="false" customHeight="true" outlineLevel="0" collapsed="false">
      <c r="A128" s="25" t="str">
        <f aca="false">IF(123&lt;=$B$3,123,"")</f>
        <v/>
      </c>
      <c r="B128" s="26" t="str">
        <f aca="false">IF($A128="","",INDEX('Data Input'!$C$6:$C$143,MATCH($A128,'Data Input'!$S$6:$S$143,0)))</f>
        <v/>
      </c>
      <c r="C128" s="27" t="str">
        <f aca="false">IF($A128="","",INDEX('Data Input'!$D$6:$D$143,MATCH($A128,'Data Input'!$S$6:$S$143,0)))</f>
        <v/>
      </c>
      <c r="D128" s="28" t="str">
        <f aca="false">IF($A128="","",INDEX('Data Input'!$L$6:$L$143,MATCH($A128,'Data Input'!$S$6:$S$143,0)))</f>
        <v/>
      </c>
      <c r="E128" s="26" t="str">
        <f aca="false">IF($A128="","",IF(D128&gt;5,"Severe",IF(D128&gt;3,"Moderate","Minor")))</f>
        <v/>
      </c>
      <c r="F128" s="26" t="str">
        <f aca="false">IF($A128="","",INDEX('Data Input'!$F$6:$F$143,MATCH($A128,'Data Input'!$S$6:$S$143,0)))</f>
        <v/>
      </c>
      <c r="G128" s="26" t="str">
        <f aca="false">IF($A128="","",INDEX('Data Input'!$H$6:$H$143,MATCH($A128,'Data Input'!$S$6:$S$143,0)))</f>
        <v/>
      </c>
      <c r="H128" s="29" t="str">
        <f aca="false">IF($A128="","",INDEX('Data Input'!$I$6:$I$143,MATCH($A128,'Data Input'!$S$6:$S$143,0)))</f>
        <v/>
      </c>
      <c r="I128" s="30" t="str">
        <f aca="false">IF($A128="","",INDEX('Data Input'!$M$6:$M$143,MATCH($A128,'Data Input'!$S$6:$S$143,0)))</f>
        <v/>
      </c>
      <c r="J128" s="26" t="str">
        <f aca="false">IF($A128="","",IFERROR(IF(INDEX('Data Input'!$Q$6:$Q$143,MATCH($A128,'Data Input'!$S$6:$S$143,0))="","",INDEX('Data Input'!$Q$6:$Q$143,MATCH($A128,'Data Input'!$S$6:$S$143,0))),""))</f>
        <v/>
      </c>
      <c r="K128" s="26" t="str">
        <f aca="false">IF($A128="","",IFERROR(IF(INDEX('Data Input'!$R$6:$R$143,MATCH($A128,'Data Input'!$S$6:$S$143,0))="","",INDEX('Data Input'!$R$6:$R$143,MATCH($A128,'Data Input'!$S$6:$S$143,0))),""))</f>
        <v/>
      </c>
    </row>
    <row r="129" customFormat="false" ht="15" hidden="false" customHeight="true" outlineLevel="0" collapsed="false">
      <c r="A129" s="25" t="str">
        <f aca="false">IF(124&lt;=$B$3,124,"")</f>
        <v/>
      </c>
      <c r="B129" s="26" t="str">
        <f aca="false">IF($A129="","",INDEX('Data Input'!$C$6:$C$143,MATCH($A129,'Data Input'!$S$6:$S$143,0)))</f>
        <v/>
      </c>
      <c r="C129" s="27" t="str">
        <f aca="false">IF($A129="","",INDEX('Data Input'!$D$6:$D$143,MATCH($A129,'Data Input'!$S$6:$S$143,0)))</f>
        <v/>
      </c>
      <c r="D129" s="28" t="str">
        <f aca="false">IF($A129="","",INDEX('Data Input'!$L$6:$L$143,MATCH($A129,'Data Input'!$S$6:$S$143,0)))</f>
        <v/>
      </c>
      <c r="E129" s="26" t="str">
        <f aca="false">IF($A129="","",IF(D129&gt;5,"Severe",IF(D129&gt;3,"Moderate","Minor")))</f>
        <v/>
      </c>
      <c r="F129" s="26" t="str">
        <f aca="false">IF($A129="","",INDEX('Data Input'!$F$6:$F$143,MATCH($A129,'Data Input'!$S$6:$S$143,0)))</f>
        <v/>
      </c>
      <c r="G129" s="26" t="str">
        <f aca="false">IF($A129="","",INDEX('Data Input'!$H$6:$H$143,MATCH($A129,'Data Input'!$S$6:$S$143,0)))</f>
        <v/>
      </c>
      <c r="H129" s="29" t="str">
        <f aca="false">IF($A129="","",INDEX('Data Input'!$I$6:$I$143,MATCH($A129,'Data Input'!$S$6:$S$143,0)))</f>
        <v/>
      </c>
      <c r="I129" s="30" t="str">
        <f aca="false">IF($A129="","",INDEX('Data Input'!$M$6:$M$143,MATCH($A129,'Data Input'!$S$6:$S$143,0)))</f>
        <v/>
      </c>
      <c r="J129" s="26" t="str">
        <f aca="false">IF($A129="","",IFERROR(IF(INDEX('Data Input'!$Q$6:$Q$143,MATCH($A129,'Data Input'!$S$6:$S$143,0))="","",INDEX('Data Input'!$Q$6:$Q$143,MATCH($A129,'Data Input'!$S$6:$S$143,0))),""))</f>
        <v/>
      </c>
      <c r="K129" s="26" t="str">
        <f aca="false">IF($A129="","",IFERROR(IF(INDEX('Data Input'!$R$6:$R$143,MATCH($A129,'Data Input'!$S$6:$S$143,0))="","",INDEX('Data Input'!$R$6:$R$143,MATCH($A129,'Data Input'!$S$6:$S$143,0))),""))</f>
        <v/>
      </c>
    </row>
    <row r="130" customFormat="false" ht="15" hidden="false" customHeight="true" outlineLevel="0" collapsed="false">
      <c r="A130" s="25" t="str">
        <f aca="false">IF(125&lt;=$B$3,125,"")</f>
        <v/>
      </c>
      <c r="B130" s="26" t="str">
        <f aca="false">IF($A130="","",INDEX('Data Input'!$C$6:$C$143,MATCH($A130,'Data Input'!$S$6:$S$143,0)))</f>
        <v/>
      </c>
      <c r="C130" s="27" t="str">
        <f aca="false">IF($A130="","",INDEX('Data Input'!$D$6:$D$143,MATCH($A130,'Data Input'!$S$6:$S$143,0)))</f>
        <v/>
      </c>
      <c r="D130" s="28" t="str">
        <f aca="false">IF($A130="","",INDEX('Data Input'!$L$6:$L$143,MATCH($A130,'Data Input'!$S$6:$S$143,0)))</f>
        <v/>
      </c>
      <c r="E130" s="26" t="str">
        <f aca="false">IF($A130="","",IF(D130&gt;5,"Severe",IF(D130&gt;3,"Moderate","Minor")))</f>
        <v/>
      </c>
      <c r="F130" s="26" t="str">
        <f aca="false">IF($A130="","",INDEX('Data Input'!$F$6:$F$143,MATCH($A130,'Data Input'!$S$6:$S$143,0)))</f>
        <v/>
      </c>
      <c r="G130" s="26" t="str">
        <f aca="false">IF($A130="","",INDEX('Data Input'!$H$6:$H$143,MATCH($A130,'Data Input'!$S$6:$S$143,0)))</f>
        <v/>
      </c>
      <c r="H130" s="29" t="str">
        <f aca="false">IF($A130="","",INDEX('Data Input'!$I$6:$I$143,MATCH($A130,'Data Input'!$S$6:$S$143,0)))</f>
        <v/>
      </c>
      <c r="I130" s="30" t="str">
        <f aca="false">IF($A130="","",INDEX('Data Input'!$M$6:$M$143,MATCH($A130,'Data Input'!$S$6:$S$143,0)))</f>
        <v/>
      </c>
      <c r="J130" s="26" t="str">
        <f aca="false">IF($A130="","",IFERROR(IF(INDEX('Data Input'!$Q$6:$Q$143,MATCH($A130,'Data Input'!$S$6:$S$143,0))="","",INDEX('Data Input'!$Q$6:$Q$143,MATCH($A130,'Data Input'!$S$6:$S$143,0))),""))</f>
        <v/>
      </c>
      <c r="K130" s="26" t="str">
        <f aca="false">IF($A130="","",IFERROR(IF(INDEX('Data Input'!$R$6:$R$143,MATCH($A130,'Data Input'!$S$6:$S$143,0))="","",INDEX('Data Input'!$R$6:$R$143,MATCH($A130,'Data Input'!$S$6:$S$143,0))),""))</f>
        <v/>
      </c>
    </row>
    <row r="131" customFormat="false" ht="15" hidden="false" customHeight="true" outlineLevel="0" collapsed="false">
      <c r="A131" s="25" t="str">
        <f aca="false">IF(126&lt;=$B$3,126,"")</f>
        <v/>
      </c>
      <c r="B131" s="26" t="str">
        <f aca="false">IF($A131="","",INDEX('Data Input'!$C$6:$C$143,MATCH($A131,'Data Input'!$S$6:$S$143,0)))</f>
        <v/>
      </c>
      <c r="C131" s="27" t="str">
        <f aca="false">IF($A131="","",INDEX('Data Input'!$D$6:$D$143,MATCH($A131,'Data Input'!$S$6:$S$143,0)))</f>
        <v/>
      </c>
      <c r="D131" s="28" t="str">
        <f aca="false">IF($A131="","",INDEX('Data Input'!$L$6:$L$143,MATCH($A131,'Data Input'!$S$6:$S$143,0)))</f>
        <v/>
      </c>
      <c r="E131" s="26" t="str">
        <f aca="false">IF($A131="","",IF(D131&gt;5,"Severe",IF(D131&gt;3,"Moderate","Minor")))</f>
        <v/>
      </c>
      <c r="F131" s="26" t="str">
        <f aca="false">IF($A131="","",INDEX('Data Input'!$F$6:$F$143,MATCH($A131,'Data Input'!$S$6:$S$143,0)))</f>
        <v/>
      </c>
      <c r="G131" s="26" t="str">
        <f aca="false">IF($A131="","",INDEX('Data Input'!$H$6:$H$143,MATCH($A131,'Data Input'!$S$6:$S$143,0)))</f>
        <v/>
      </c>
      <c r="H131" s="29" t="str">
        <f aca="false">IF($A131="","",INDEX('Data Input'!$I$6:$I$143,MATCH($A131,'Data Input'!$S$6:$S$143,0)))</f>
        <v/>
      </c>
      <c r="I131" s="30" t="str">
        <f aca="false">IF($A131="","",INDEX('Data Input'!$M$6:$M$143,MATCH($A131,'Data Input'!$S$6:$S$143,0)))</f>
        <v/>
      </c>
      <c r="J131" s="26" t="str">
        <f aca="false">IF($A131="","",IFERROR(IF(INDEX('Data Input'!$Q$6:$Q$143,MATCH($A131,'Data Input'!$S$6:$S$143,0))="","",INDEX('Data Input'!$Q$6:$Q$143,MATCH($A131,'Data Input'!$S$6:$S$143,0))),""))</f>
        <v/>
      </c>
      <c r="K131" s="26" t="str">
        <f aca="false">IF($A131="","",IFERROR(IF(INDEX('Data Input'!$R$6:$R$143,MATCH($A131,'Data Input'!$S$6:$S$143,0))="","",INDEX('Data Input'!$R$6:$R$143,MATCH($A131,'Data Input'!$S$6:$S$143,0))),""))</f>
        <v/>
      </c>
    </row>
    <row r="132" customFormat="false" ht="15" hidden="false" customHeight="true" outlineLevel="0" collapsed="false">
      <c r="A132" s="25" t="str">
        <f aca="false">IF(127&lt;=$B$3,127,"")</f>
        <v/>
      </c>
      <c r="B132" s="26" t="str">
        <f aca="false">IF($A132="","",INDEX('Data Input'!$C$6:$C$143,MATCH($A132,'Data Input'!$S$6:$S$143,0)))</f>
        <v/>
      </c>
      <c r="C132" s="27" t="str">
        <f aca="false">IF($A132="","",INDEX('Data Input'!$D$6:$D$143,MATCH($A132,'Data Input'!$S$6:$S$143,0)))</f>
        <v/>
      </c>
      <c r="D132" s="28" t="str">
        <f aca="false">IF($A132="","",INDEX('Data Input'!$L$6:$L$143,MATCH($A132,'Data Input'!$S$6:$S$143,0)))</f>
        <v/>
      </c>
      <c r="E132" s="26" t="str">
        <f aca="false">IF($A132="","",IF(D132&gt;5,"Severe",IF(D132&gt;3,"Moderate","Minor")))</f>
        <v/>
      </c>
      <c r="F132" s="26" t="str">
        <f aca="false">IF($A132="","",INDEX('Data Input'!$F$6:$F$143,MATCH($A132,'Data Input'!$S$6:$S$143,0)))</f>
        <v/>
      </c>
      <c r="G132" s="26" t="str">
        <f aca="false">IF($A132="","",INDEX('Data Input'!$H$6:$H$143,MATCH($A132,'Data Input'!$S$6:$S$143,0)))</f>
        <v/>
      </c>
      <c r="H132" s="29" t="str">
        <f aca="false">IF($A132="","",INDEX('Data Input'!$I$6:$I$143,MATCH($A132,'Data Input'!$S$6:$S$143,0)))</f>
        <v/>
      </c>
      <c r="I132" s="30" t="str">
        <f aca="false">IF($A132="","",INDEX('Data Input'!$M$6:$M$143,MATCH($A132,'Data Input'!$S$6:$S$143,0)))</f>
        <v/>
      </c>
      <c r="J132" s="26" t="str">
        <f aca="false">IF($A132="","",IFERROR(IF(INDEX('Data Input'!$Q$6:$Q$143,MATCH($A132,'Data Input'!$S$6:$S$143,0))="","",INDEX('Data Input'!$Q$6:$Q$143,MATCH($A132,'Data Input'!$S$6:$S$143,0))),""))</f>
        <v/>
      </c>
      <c r="K132" s="26" t="str">
        <f aca="false">IF($A132="","",IFERROR(IF(INDEX('Data Input'!$R$6:$R$143,MATCH($A132,'Data Input'!$S$6:$S$143,0))="","",INDEX('Data Input'!$R$6:$R$143,MATCH($A132,'Data Input'!$S$6:$S$143,0))),""))</f>
        <v/>
      </c>
    </row>
    <row r="133" customFormat="false" ht="15" hidden="false" customHeight="true" outlineLevel="0" collapsed="false">
      <c r="A133" s="25" t="str">
        <f aca="false">IF(128&lt;=$B$3,128,"")</f>
        <v/>
      </c>
      <c r="B133" s="26" t="str">
        <f aca="false">IF($A133="","",INDEX('Data Input'!$C$6:$C$143,MATCH($A133,'Data Input'!$S$6:$S$143,0)))</f>
        <v/>
      </c>
      <c r="C133" s="27" t="str">
        <f aca="false">IF($A133="","",INDEX('Data Input'!$D$6:$D$143,MATCH($A133,'Data Input'!$S$6:$S$143,0)))</f>
        <v/>
      </c>
      <c r="D133" s="28" t="str">
        <f aca="false">IF($A133="","",INDEX('Data Input'!$L$6:$L$143,MATCH($A133,'Data Input'!$S$6:$S$143,0)))</f>
        <v/>
      </c>
      <c r="E133" s="26" t="str">
        <f aca="false">IF($A133="","",IF(D133&gt;5,"Severe",IF(D133&gt;3,"Moderate","Minor")))</f>
        <v/>
      </c>
      <c r="F133" s="26" t="str">
        <f aca="false">IF($A133="","",INDEX('Data Input'!$F$6:$F$143,MATCH($A133,'Data Input'!$S$6:$S$143,0)))</f>
        <v/>
      </c>
      <c r="G133" s="26" t="str">
        <f aca="false">IF($A133="","",INDEX('Data Input'!$H$6:$H$143,MATCH($A133,'Data Input'!$S$6:$S$143,0)))</f>
        <v/>
      </c>
      <c r="H133" s="29" t="str">
        <f aca="false">IF($A133="","",INDEX('Data Input'!$I$6:$I$143,MATCH($A133,'Data Input'!$S$6:$S$143,0)))</f>
        <v/>
      </c>
      <c r="I133" s="30" t="str">
        <f aca="false">IF($A133="","",INDEX('Data Input'!$M$6:$M$143,MATCH($A133,'Data Input'!$S$6:$S$143,0)))</f>
        <v/>
      </c>
      <c r="J133" s="26" t="str">
        <f aca="false">IF($A133="","",IFERROR(IF(INDEX('Data Input'!$Q$6:$Q$143,MATCH($A133,'Data Input'!$S$6:$S$143,0))="","",INDEX('Data Input'!$Q$6:$Q$143,MATCH($A133,'Data Input'!$S$6:$S$143,0))),""))</f>
        <v/>
      </c>
      <c r="K133" s="26" t="str">
        <f aca="false">IF($A133="","",IFERROR(IF(INDEX('Data Input'!$R$6:$R$143,MATCH($A133,'Data Input'!$S$6:$S$143,0))="","",INDEX('Data Input'!$R$6:$R$143,MATCH($A133,'Data Input'!$S$6:$S$143,0))),""))</f>
        <v/>
      </c>
    </row>
    <row r="134" customFormat="false" ht="15" hidden="false" customHeight="true" outlineLevel="0" collapsed="false">
      <c r="A134" s="25" t="str">
        <f aca="false">IF(129&lt;=$B$3,129,"")</f>
        <v/>
      </c>
      <c r="B134" s="26" t="str">
        <f aca="false">IF($A134="","",INDEX('Data Input'!$C$6:$C$143,MATCH($A134,'Data Input'!$S$6:$S$143,0)))</f>
        <v/>
      </c>
      <c r="C134" s="27" t="str">
        <f aca="false">IF($A134="","",INDEX('Data Input'!$D$6:$D$143,MATCH($A134,'Data Input'!$S$6:$S$143,0)))</f>
        <v/>
      </c>
      <c r="D134" s="28" t="str">
        <f aca="false">IF($A134="","",INDEX('Data Input'!$L$6:$L$143,MATCH($A134,'Data Input'!$S$6:$S$143,0)))</f>
        <v/>
      </c>
      <c r="E134" s="26" t="str">
        <f aca="false">IF($A134="","",IF(D134&gt;5,"Severe",IF(D134&gt;3,"Moderate","Minor")))</f>
        <v/>
      </c>
      <c r="F134" s="26" t="str">
        <f aca="false">IF($A134="","",INDEX('Data Input'!$F$6:$F$143,MATCH($A134,'Data Input'!$S$6:$S$143,0)))</f>
        <v/>
      </c>
      <c r="G134" s="26" t="str">
        <f aca="false">IF($A134="","",INDEX('Data Input'!$H$6:$H$143,MATCH($A134,'Data Input'!$S$6:$S$143,0)))</f>
        <v/>
      </c>
      <c r="H134" s="29" t="str">
        <f aca="false">IF($A134="","",INDEX('Data Input'!$I$6:$I$143,MATCH($A134,'Data Input'!$S$6:$S$143,0)))</f>
        <v/>
      </c>
      <c r="I134" s="30" t="str">
        <f aca="false">IF($A134="","",INDEX('Data Input'!$M$6:$M$143,MATCH($A134,'Data Input'!$S$6:$S$143,0)))</f>
        <v/>
      </c>
      <c r="J134" s="26" t="str">
        <f aca="false">IF($A134="","",IFERROR(IF(INDEX('Data Input'!$Q$6:$Q$143,MATCH($A134,'Data Input'!$S$6:$S$143,0))="","",INDEX('Data Input'!$Q$6:$Q$143,MATCH($A134,'Data Input'!$S$6:$S$143,0))),""))</f>
        <v/>
      </c>
      <c r="K134" s="26" t="str">
        <f aca="false">IF($A134="","",IFERROR(IF(INDEX('Data Input'!$R$6:$R$143,MATCH($A134,'Data Input'!$S$6:$S$143,0))="","",INDEX('Data Input'!$R$6:$R$143,MATCH($A134,'Data Input'!$S$6:$S$143,0))),""))</f>
        <v/>
      </c>
    </row>
    <row r="135" customFormat="false" ht="15" hidden="false" customHeight="true" outlineLevel="0" collapsed="false">
      <c r="A135" s="25" t="str">
        <f aca="false">IF(130&lt;=$B$3,130,"")</f>
        <v/>
      </c>
      <c r="B135" s="26" t="str">
        <f aca="false">IF($A135="","",INDEX('Data Input'!$C$6:$C$143,MATCH($A135,'Data Input'!$S$6:$S$143,0)))</f>
        <v/>
      </c>
      <c r="C135" s="27" t="str">
        <f aca="false">IF($A135="","",INDEX('Data Input'!$D$6:$D$143,MATCH($A135,'Data Input'!$S$6:$S$143,0)))</f>
        <v/>
      </c>
      <c r="D135" s="28" t="str">
        <f aca="false">IF($A135="","",INDEX('Data Input'!$L$6:$L$143,MATCH($A135,'Data Input'!$S$6:$S$143,0)))</f>
        <v/>
      </c>
      <c r="E135" s="26" t="str">
        <f aca="false">IF($A135="","",IF(D135&gt;5,"Severe",IF(D135&gt;3,"Moderate","Minor")))</f>
        <v/>
      </c>
      <c r="F135" s="26" t="str">
        <f aca="false">IF($A135="","",INDEX('Data Input'!$F$6:$F$143,MATCH($A135,'Data Input'!$S$6:$S$143,0)))</f>
        <v/>
      </c>
      <c r="G135" s="26" t="str">
        <f aca="false">IF($A135="","",INDEX('Data Input'!$H$6:$H$143,MATCH($A135,'Data Input'!$S$6:$S$143,0)))</f>
        <v/>
      </c>
      <c r="H135" s="29" t="str">
        <f aca="false">IF($A135="","",INDEX('Data Input'!$I$6:$I$143,MATCH($A135,'Data Input'!$S$6:$S$143,0)))</f>
        <v/>
      </c>
      <c r="I135" s="30" t="str">
        <f aca="false">IF($A135="","",INDEX('Data Input'!$M$6:$M$143,MATCH($A135,'Data Input'!$S$6:$S$143,0)))</f>
        <v/>
      </c>
      <c r="J135" s="26" t="str">
        <f aca="false">IF($A135="","",IFERROR(IF(INDEX('Data Input'!$Q$6:$Q$143,MATCH($A135,'Data Input'!$S$6:$S$143,0))="","",INDEX('Data Input'!$Q$6:$Q$143,MATCH($A135,'Data Input'!$S$6:$S$143,0))),""))</f>
        <v/>
      </c>
      <c r="K135" s="26" t="str">
        <f aca="false">IF($A135="","",IFERROR(IF(INDEX('Data Input'!$R$6:$R$143,MATCH($A135,'Data Input'!$S$6:$S$143,0))="","",INDEX('Data Input'!$R$6:$R$143,MATCH($A135,'Data Input'!$S$6:$S$143,0))),""))</f>
        <v/>
      </c>
    </row>
    <row r="136" customFormat="false" ht="15" hidden="false" customHeight="true" outlineLevel="0" collapsed="false">
      <c r="A136" s="25" t="str">
        <f aca="false">IF(131&lt;=$B$3,131,"")</f>
        <v/>
      </c>
      <c r="B136" s="26" t="str">
        <f aca="false">IF($A136="","",INDEX('Data Input'!$C$6:$C$143,MATCH($A136,'Data Input'!$S$6:$S$143,0)))</f>
        <v/>
      </c>
      <c r="C136" s="27" t="str">
        <f aca="false">IF($A136="","",INDEX('Data Input'!$D$6:$D$143,MATCH($A136,'Data Input'!$S$6:$S$143,0)))</f>
        <v/>
      </c>
      <c r="D136" s="28" t="str">
        <f aca="false">IF($A136="","",INDEX('Data Input'!$L$6:$L$143,MATCH($A136,'Data Input'!$S$6:$S$143,0)))</f>
        <v/>
      </c>
      <c r="E136" s="26" t="str">
        <f aca="false">IF($A136="","",IF(D136&gt;5,"Severe",IF(D136&gt;3,"Moderate","Minor")))</f>
        <v/>
      </c>
      <c r="F136" s="26" t="str">
        <f aca="false">IF($A136="","",INDEX('Data Input'!$F$6:$F$143,MATCH($A136,'Data Input'!$S$6:$S$143,0)))</f>
        <v/>
      </c>
      <c r="G136" s="26" t="str">
        <f aca="false">IF($A136="","",INDEX('Data Input'!$H$6:$H$143,MATCH($A136,'Data Input'!$S$6:$S$143,0)))</f>
        <v/>
      </c>
      <c r="H136" s="29" t="str">
        <f aca="false">IF($A136="","",INDEX('Data Input'!$I$6:$I$143,MATCH($A136,'Data Input'!$S$6:$S$143,0)))</f>
        <v/>
      </c>
      <c r="I136" s="30" t="str">
        <f aca="false">IF($A136="","",INDEX('Data Input'!$M$6:$M$143,MATCH($A136,'Data Input'!$S$6:$S$143,0)))</f>
        <v/>
      </c>
      <c r="J136" s="26" t="str">
        <f aca="false">IF($A136="","",IFERROR(IF(INDEX('Data Input'!$Q$6:$Q$143,MATCH($A136,'Data Input'!$S$6:$S$143,0))="","",INDEX('Data Input'!$Q$6:$Q$143,MATCH($A136,'Data Input'!$S$6:$S$143,0))),""))</f>
        <v/>
      </c>
      <c r="K136" s="26" t="str">
        <f aca="false">IF($A136="","",IFERROR(IF(INDEX('Data Input'!$R$6:$R$143,MATCH($A136,'Data Input'!$S$6:$S$143,0))="","",INDEX('Data Input'!$R$6:$R$143,MATCH($A136,'Data Input'!$S$6:$S$143,0))),""))</f>
        <v/>
      </c>
    </row>
    <row r="137" customFormat="false" ht="15" hidden="false" customHeight="true" outlineLevel="0" collapsed="false">
      <c r="A137" s="25" t="str">
        <f aca="false">IF(132&lt;=$B$3,132,"")</f>
        <v/>
      </c>
      <c r="B137" s="26" t="str">
        <f aca="false">IF($A137="","",INDEX('Data Input'!$C$6:$C$143,MATCH($A137,'Data Input'!$S$6:$S$143,0)))</f>
        <v/>
      </c>
      <c r="C137" s="27" t="str">
        <f aca="false">IF($A137="","",INDEX('Data Input'!$D$6:$D$143,MATCH($A137,'Data Input'!$S$6:$S$143,0)))</f>
        <v/>
      </c>
      <c r="D137" s="28" t="str">
        <f aca="false">IF($A137="","",INDEX('Data Input'!$L$6:$L$143,MATCH($A137,'Data Input'!$S$6:$S$143,0)))</f>
        <v/>
      </c>
      <c r="E137" s="26" t="str">
        <f aca="false">IF($A137="","",IF(D137&gt;5,"Severe",IF(D137&gt;3,"Moderate","Minor")))</f>
        <v/>
      </c>
      <c r="F137" s="26" t="str">
        <f aca="false">IF($A137="","",INDEX('Data Input'!$F$6:$F$143,MATCH($A137,'Data Input'!$S$6:$S$143,0)))</f>
        <v/>
      </c>
      <c r="G137" s="26" t="str">
        <f aca="false">IF($A137="","",INDEX('Data Input'!$H$6:$H$143,MATCH($A137,'Data Input'!$S$6:$S$143,0)))</f>
        <v/>
      </c>
      <c r="H137" s="29" t="str">
        <f aca="false">IF($A137="","",INDEX('Data Input'!$I$6:$I$143,MATCH($A137,'Data Input'!$S$6:$S$143,0)))</f>
        <v/>
      </c>
      <c r="I137" s="30" t="str">
        <f aca="false">IF($A137="","",INDEX('Data Input'!$M$6:$M$143,MATCH($A137,'Data Input'!$S$6:$S$143,0)))</f>
        <v/>
      </c>
      <c r="J137" s="26" t="str">
        <f aca="false">IF($A137="","",IFERROR(IF(INDEX('Data Input'!$Q$6:$Q$143,MATCH($A137,'Data Input'!$S$6:$S$143,0))="","",INDEX('Data Input'!$Q$6:$Q$143,MATCH($A137,'Data Input'!$S$6:$S$143,0))),""))</f>
        <v/>
      </c>
      <c r="K137" s="26" t="str">
        <f aca="false">IF($A137="","",IFERROR(IF(INDEX('Data Input'!$R$6:$R$143,MATCH($A137,'Data Input'!$S$6:$S$143,0))="","",INDEX('Data Input'!$R$6:$R$143,MATCH($A137,'Data Input'!$S$6:$S$143,0))),""))</f>
        <v/>
      </c>
    </row>
    <row r="138" customFormat="false" ht="15" hidden="false" customHeight="true" outlineLevel="0" collapsed="false">
      <c r="A138" s="25" t="str">
        <f aca="false">IF(133&lt;=$B$3,133,"")</f>
        <v/>
      </c>
      <c r="B138" s="26" t="str">
        <f aca="false">IF($A138="","",INDEX('Data Input'!$C$6:$C$143,MATCH($A138,'Data Input'!$S$6:$S$143,0)))</f>
        <v/>
      </c>
      <c r="C138" s="27" t="str">
        <f aca="false">IF($A138="","",INDEX('Data Input'!$D$6:$D$143,MATCH($A138,'Data Input'!$S$6:$S$143,0)))</f>
        <v/>
      </c>
      <c r="D138" s="28" t="str">
        <f aca="false">IF($A138="","",INDEX('Data Input'!$L$6:$L$143,MATCH($A138,'Data Input'!$S$6:$S$143,0)))</f>
        <v/>
      </c>
      <c r="E138" s="26" t="str">
        <f aca="false">IF($A138="","",IF(D138&gt;5,"Severe",IF(D138&gt;3,"Moderate","Minor")))</f>
        <v/>
      </c>
      <c r="F138" s="26" t="str">
        <f aca="false">IF($A138="","",INDEX('Data Input'!$F$6:$F$143,MATCH($A138,'Data Input'!$S$6:$S$143,0)))</f>
        <v/>
      </c>
      <c r="G138" s="26" t="str">
        <f aca="false">IF($A138="","",INDEX('Data Input'!$H$6:$H$143,MATCH($A138,'Data Input'!$S$6:$S$143,0)))</f>
        <v/>
      </c>
      <c r="H138" s="29" t="str">
        <f aca="false">IF($A138="","",INDEX('Data Input'!$I$6:$I$143,MATCH($A138,'Data Input'!$S$6:$S$143,0)))</f>
        <v/>
      </c>
      <c r="I138" s="30" t="str">
        <f aca="false">IF($A138="","",INDEX('Data Input'!$M$6:$M$143,MATCH($A138,'Data Input'!$S$6:$S$143,0)))</f>
        <v/>
      </c>
      <c r="J138" s="26" t="str">
        <f aca="false">IF($A138="","",IFERROR(IF(INDEX('Data Input'!$Q$6:$Q$143,MATCH($A138,'Data Input'!$S$6:$S$143,0))="","",INDEX('Data Input'!$Q$6:$Q$143,MATCH($A138,'Data Input'!$S$6:$S$143,0))),""))</f>
        <v/>
      </c>
      <c r="K138" s="26" t="str">
        <f aca="false">IF($A138="","",IFERROR(IF(INDEX('Data Input'!$R$6:$R$143,MATCH($A138,'Data Input'!$S$6:$S$143,0))="","",INDEX('Data Input'!$R$6:$R$143,MATCH($A138,'Data Input'!$S$6:$S$143,0))),""))</f>
        <v/>
      </c>
    </row>
    <row r="139" customFormat="false" ht="15" hidden="false" customHeight="true" outlineLevel="0" collapsed="false">
      <c r="A139" s="25" t="str">
        <f aca="false">IF(134&lt;=$B$3,134,"")</f>
        <v/>
      </c>
      <c r="B139" s="26" t="str">
        <f aca="false">IF($A139="","",INDEX('Data Input'!$C$6:$C$143,MATCH($A139,'Data Input'!$S$6:$S$143,0)))</f>
        <v/>
      </c>
      <c r="C139" s="27" t="str">
        <f aca="false">IF($A139="","",INDEX('Data Input'!$D$6:$D$143,MATCH($A139,'Data Input'!$S$6:$S$143,0)))</f>
        <v/>
      </c>
      <c r="D139" s="28" t="str">
        <f aca="false">IF($A139="","",INDEX('Data Input'!$L$6:$L$143,MATCH($A139,'Data Input'!$S$6:$S$143,0)))</f>
        <v/>
      </c>
      <c r="E139" s="26" t="str">
        <f aca="false">IF($A139="","",IF(D139&gt;5,"Severe",IF(D139&gt;3,"Moderate","Minor")))</f>
        <v/>
      </c>
      <c r="F139" s="26" t="str">
        <f aca="false">IF($A139="","",INDEX('Data Input'!$F$6:$F$143,MATCH($A139,'Data Input'!$S$6:$S$143,0)))</f>
        <v/>
      </c>
      <c r="G139" s="26" t="str">
        <f aca="false">IF($A139="","",INDEX('Data Input'!$H$6:$H$143,MATCH($A139,'Data Input'!$S$6:$S$143,0)))</f>
        <v/>
      </c>
      <c r="H139" s="29" t="str">
        <f aca="false">IF($A139="","",INDEX('Data Input'!$I$6:$I$143,MATCH($A139,'Data Input'!$S$6:$S$143,0)))</f>
        <v/>
      </c>
      <c r="I139" s="30" t="str">
        <f aca="false">IF($A139="","",INDEX('Data Input'!$M$6:$M$143,MATCH($A139,'Data Input'!$S$6:$S$143,0)))</f>
        <v/>
      </c>
      <c r="J139" s="26" t="str">
        <f aca="false">IF($A139="","",IFERROR(IF(INDEX('Data Input'!$Q$6:$Q$143,MATCH($A139,'Data Input'!$S$6:$S$143,0))="","",INDEX('Data Input'!$Q$6:$Q$143,MATCH($A139,'Data Input'!$S$6:$S$143,0))),""))</f>
        <v/>
      </c>
      <c r="K139" s="26" t="str">
        <f aca="false">IF($A139="","",IFERROR(IF(INDEX('Data Input'!$R$6:$R$143,MATCH($A139,'Data Input'!$S$6:$S$143,0))="","",INDEX('Data Input'!$R$6:$R$143,MATCH($A139,'Data Input'!$S$6:$S$143,0))),""))</f>
        <v/>
      </c>
    </row>
    <row r="140" customFormat="false" ht="15" hidden="false" customHeight="true" outlineLevel="0" collapsed="false">
      <c r="A140" s="25" t="str">
        <f aca="false">IF(135&lt;=$B$3,135,"")</f>
        <v/>
      </c>
      <c r="B140" s="26" t="str">
        <f aca="false">IF($A140="","",INDEX('Data Input'!$C$6:$C$143,MATCH($A140,'Data Input'!$S$6:$S$143,0)))</f>
        <v/>
      </c>
      <c r="C140" s="27" t="str">
        <f aca="false">IF($A140="","",INDEX('Data Input'!$D$6:$D$143,MATCH($A140,'Data Input'!$S$6:$S$143,0)))</f>
        <v/>
      </c>
      <c r="D140" s="28" t="str">
        <f aca="false">IF($A140="","",INDEX('Data Input'!$L$6:$L$143,MATCH($A140,'Data Input'!$S$6:$S$143,0)))</f>
        <v/>
      </c>
      <c r="E140" s="26" t="str">
        <f aca="false">IF($A140="","",IF(D140&gt;5,"Severe",IF(D140&gt;3,"Moderate","Minor")))</f>
        <v/>
      </c>
      <c r="F140" s="26" t="str">
        <f aca="false">IF($A140="","",INDEX('Data Input'!$F$6:$F$143,MATCH($A140,'Data Input'!$S$6:$S$143,0)))</f>
        <v/>
      </c>
      <c r="G140" s="26" t="str">
        <f aca="false">IF($A140="","",INDEX('Data Input'!$H$6:$H$143,MATCH($A140,'Data Input'!$S$6:$S$143,0)))</f>
        <v/>
      </c>
      <c r="H140" s="29" t="str">
        <f aca="false">IF($A140="","",INDEX('Data Input'!$I$6:$I$143,MATCH($A140,'Data Input'!$S$6:$S$143,0)))</f>
        <v/>
      </c>
      <c r="I140" s="30" t="str">
        <f aca="false">IF($A140="","",INDEX('Data Input'!$M$6:$M$143,MATCH($A140,'Data Input'!$S$6:$S$143,0)))</f>
        <v/>
      </c>
      <c r="J140" s="26" t="str">
        <f aca="false">IF($A140="","",IFERROR(IF(INDEX('Data Input'!$Q$6:$Q$143,MATCH($A140,'Data Input'!$S$6:$S$143,0))="","",INDEX('Data Input'!$Q$6:$Q$143,MATCH($A140,'Data Input'!$S$6:$S$143,0))),""))</f>
        <v/>
      </c>
      <c r="K140" s="26" t="str">
        <f aca="false">IF($A140="","",IFERROR(IF(INDEX('Data Input'!$R$6:$R$143,MATCH($A140,'Data Input'!$S$6:$S$143,0))="","",INDEX('Data Input'!$R$6:$R$143,MATCH($A140,'Data Input'!$S$6:$S$143,0))),""))</f>
        <v/>
      </c>
    </row>
    <row r="141" customFormat="false" ht="15" hidden="false" customHeight="true" outlineLevel="0" collapsed="false">
      <c r="A141" s="25" t="str">
        <f aca="false">IF(136&lt;=$B$3,136,"")</f>
        <v/>
      </c>
      <c r="B141" s="26" t="str">
        <f aca="false">IF($A141="","",INDEX('Data Input'!$C$6:$C$143,MATCH($A141,'Data Input'!$S$6:$S$143,0)))</f>
        <v/>
      </c>
      <c r="C141" s="27" t="str">
        <f aca="false">IF($A141="","",INDEX('Data Input'!$D$6:$D$143,MATCH($A141,'Data Input'!$S$6:$S$143,0)))</f>
        <v/>
      </c>
      <c r="D141" s="28" t="str">
        <f aca="false">IF($A141="","",INDEX('Data Input'!$L$6:$L$143,MATCH($A141,'Data Input'!$S$6:$S$143,0)))</f>
        <v/>
      </c>
      <c r="E141" s="26" t="str">
        <f aca="false">IF($A141="","",IF(D141&gt;5,"Severe",IF(D141&gt;3,"Moderate","Minor")))</f>
        <v/>
      </c>
      <c r="F141" s="26" t="str">
        <f aca="false">IF($A141="","",INDEX('Data Input'!$F$6:$F$143,MATCH($A141,'Data Input'!$S$6:$S$143,0)))</f>
        <v/>
      </c>
      <c r="G141" s="26" t="str">
        <f aca="false">IF($A141="","",INDEX('Data Input'!$H$6:$H$143,MATCH($A141,'Data Input'!$S$6:$S$143,0)))</f>
        <v/>
      </c>
      <c r="H141" s="29" t="str">
        <f aca="false">IF($A141="","",INDEX('Data Input'!$I$6:$I$143,MATCH($A141,'Data Input'!$S$6:$S$143,0)))</f>
        <v/>
      </c>
      <c r="I141" s="30" t="str">
        <f aca="false">IF($A141="","",INDEX('Data Input'!$M$6:$M$143,MATCH($A141,'Data Input'!$S$6:$S$143,0)))</f>
        <v/>
      </c>
      <c r="J141" s="26" t="str">
        <f aca="false">IF($A141="","",IFERROR(IF(INDEX('Data Input'!$Q$6:$Q$143,MATCH($A141,'Data Input'!$S$6:$S$143,0))="","",INDEX('Data Input'!$Q$6:$Q$143,MATCH($A141,'Data Input'!$S$6:$S$143,0))),""))</f>
        <v/>
      </c>
      <c r="K141" s="26" t="str">
        <f aca="false">IF($A141="","",IFERROR(IF(INDEX('Data Input'!$R$6:$R$143,MATCH($A141,'Data Input'!$S$6:$S$143,0))="","",INDEX('Data Input'!$R$6:$R$143,MATCH($A141,'Data Input'!$S$6:$S$143,0))),""))</f>
        <v/>
      </c>
    </row>
    <row r="142" customFormat="false" ht="15" hidden="false" customHeight="true" outlineLevel="0" collapsed="false">
      <c r="A142" s="25" t="str">
        <f aca="false">IF(137&lt;=$B$3,137,"")</f>
        <v/>
      </c>
      <c r="B142" s="26" t="str">
        <f aca="false">IF($A142="","",INDEX('Data Input'!$C$6:$C$143,MATCH($A142,'Data Input'!$S$6:$S$143,0)))</f>
        <v/>
      </c>
      <c r="C142" s="27" t="str">
        <f aca="false">IF($A142="","",INDEX('Data Input'!$D$6:$D$143,MATCH($A142,'Data Input'!$S$6:$S$143,0)))</f>
        <v/>
      </c>
      <c r="D142" s="28" t="str">
        <f aca="false">IF($A142="","",INDEX('Data Input'!$L$6:$L$143,MATCH($A142,'Data Input'!$S$6:$S$143,0)))</f>
        <v/>
      </c>
      <c r="E142" s="26" t="str">
        <f aca="false">IF($A142="","",IF(D142&gt;5,"Severe",IF(D142&gt;3,"Moderate","Minor")))</f>
        <v/>
      </c>
      <c r="F142" s="26" t="str">
        <f aca="false">IF($A142="","",INDEX('Data Input'!$F$6:$F$143,MATCH($A142,'Data Input'!$S$6:$S$143,0)))</f>
        <v/>
      </c>
      <c r="G142" s="26" t="str">
        <f aca="false">IF($A142="","",INDEX('Data Input'!$H$6:$H$143,MATCH($A142,'Data Input'!$S$6:$S$143,0)))</f>
        <v/>
      </c>
      <c r="H142" s="29" t="str">
        <f aca="false">IF($A142="","",INDEX('Data Input'!$I$6:$I$143,MATCH($A142,'Data Input'!$S$6:$S$143,0)))</f>
        <v/>
      </c>
      <c r="I142" s="30" t="str">
        <f aca="false">IF($A142="","",INDEX('Data Input'!$M$6:$M$143,MATCH($A142,'Data Input'!$S$6:$S$143,0)))</f>
        <v/>
      </c>
      <c r="J142" s="26" t="str">
        <f aca="false">IF($A142="","",IFERROR(IF(INDEX('Data Input'!$Q$6:$Q$143,MATCH($A142,'Data Input'!$S$6:$S$143,0))="","",INDEX('Data Input'!$Q$6:$Q$143,MATCH($A142,'Data Input'!$S$6:$S$143,0))),""))</f>
        <v/>
      </c>
      <c r="K142" s="26" t="str">
        <f aca="false">IF($A142="","",IFERROR(IF(INDEX('Data Input'!$R$6:$R$143,MATCH($A142,'Data Input'!$S$6:$S$143,0))="","",INDEX('Data Input'!$R$6:$R$143,MATCH($A142,'Data Input'!$S$6:$S$143,0))),""))</f>
        <v/>
      </c>
    </row>
    <row r="143" customFormat="false" ht="15" hidden="false" customHeight="true" outlineLevel="0" collapsed="false">
      <c r="A143" s="25" t="str">
        <f aca="false">IF(138&lt;=$B$3,138,"")</f>
        <v/>
      </c>
      <c r="B143" s="26" t="str">
        <f aca="false">IF($A143="","",INDEX('Data Input'!$C$6:$C$143,MATCH($A143,'Data Input'!$S$6:$S$143,0)))</f>
        <v/>
      </c>
      <c r="C143" s="27" t="str">
        <f aca="false">IF($A143="","",INDEX('Data Input'!$D$6:$D$143,MATCH($A143,'Data Input'!$S$6:$S$143,0)))</f>
        <v/>
      </c>
      <c r="D143" s="28" t="str">
        <f aca="false">IF($A143="","",INDEX('Data Input'!$L$6:$L$143,MATCH($A143,'Data Input'!$S$6:$S$143,0)))</f>
        <v/>
      </c>
      <c r="E143" s="26" t="str">
        <f aca="false">IF($A143="","",IF(D143&gt;5,"Severe",IF(D143&gt;3,"Moderate","Minor")))</f>
        <v/>
      </c>
      <c r="F143" s="26" t="str">
        <f aca="false">IF($A143="","",INDEX('Data Input'!$F$6:$F$143,MATCH($A143,'Data Input'!$S$6:$S$143,0)))</f>
        <v/>
      </c>
      <c r="G143" s="26" t="str">
        <f aca="false">IF($A143="","",INDEX('Data Input'!$H$6:$H$143,MATCH($A143,'Data Input'!$S$6:$S$143,0)))</f>
        <v/>
      </c>
      <c r="H143" s="29" t="str">
        <f aca="false">IF($A143="","",INDEX('Data Input'!$I$6:$I$143,MATCH($A143,'Data Input'!$S$6:$S$143,0)))</f>
        <v/>
      </c>
      <c r="I143" s="30" t="str">
        <f aca="false">IF($A143="","",INDEX('Data Input'!$M$6:$M$143,MATCH($A143,'Data Input'!$S$6:$S$143,0)))</f>
        <v/>
      </c>
      <c r="J143" s="26" t="str">
        <f aca="false">IF($A143="","",IFERROR(IF(INDEX('Data Input'!$Q$6:$Q$143,MATCH($A143,'Data Input'!$S$6:$S$143,0))="","",INDEX('Data Input'!$Q$6:$Q$143,MATCH($A143,'Data Input'!$S$6:$S$143,0))),""))</f>
        <v/>
      </c>
      <c r="K143" s="26" t="str">
        <f aca="false">IF($A143="","",IFERROR(IF(INDEX('Data Input'!$R$6:$R$143,MATCH($A143,'Data Input'!$S$6:$S$143,0))="","",INDEX('Data Input'!$R$6:$R$143,MATCH($A143,'Data Input'!$S$6:$S$143,0))),""))</f>
        <v/>
      </c>
    </row>
  </sheetData>
  <mergeCells count="2">
    <mergeCell ref="A1:K1"/>
    <mergeCell ref="A2:K2"/>
  </mergeCells>
  <conditionalFormatting sqref="E6:E143">
    <cfRule type="cellIs" priority="2" operator="equal" aboveAverage="0" equalAverage="0" bottom="0" percent="0" rank="0" text="" dxfId="6">
      <formula>"Severe"</formula>
    </cfRule>
    <cfRule type="cellIs" priority="3" operator="equal" aboveAverage="0" equalAverage="0" bottom="0" percent="0" rank="0" text="" dxfId="7">
      <formula>"Moderate"</formula>
    </cfRule>
    <cfRule type="cellIs" priority="4" operator="equal" aboveAverage="0" equalAverage="0" bottom="0" percent="0" rank="0" text="" dxfId="8">
      <formula>"Minor"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86"/>
    <col collapsed="false" customWidth="true" hidden="false" outlineLevel="0" max="2" min="2" style="1" width="14.29"/>
    <col collapsed="false" customWidth="true" hidden="false" outlineLevel="0" max="5" min="3" style="1" width="10.71"/>
    <col collapsed="false" customWidth="true" hidden="false" outlineLevel="0" max="10" min="6" style="1" width="11.43"/>
    <col collapsed="false" customWidth="true" hidden="false" outlineLevel="0" max="12" min="11" style="1" width="9.29"/>
    <col collapsed="false" customWidth="true" hidden="false" outlineLevel="0" max="13" min="13" style="1" width="23.86"/>
    <col collapsed="false" customWidth="true" hidden="false" outlineLevel="0" max="14" min="14" style="1" width="11.43"/>
    <col collapsed="false" customWidth="true" hidden="false" outlineLevel="0" max="15" min="15" style="1" width="57.14"/>
  </cols>
  <sheetData>
    <row r="1" customFormat="false" ht="24" hidden="false" customHeight="true" outlineLevel="0" collapsed="false">
      <c r="A1" s="31" t="s">
        <v>148</v>
      </c>
      <c r="B1" s="31"/>
      <c r="C1" s="31"/>
      <c r="D1" s="31"/>
      <c r="E1" s="31"/>
      <c r="F1" s="31"/>
      <c r="G1" s="31"/>
      <c r="H1" s="31"/>
      <c r="I1" s="31"/>
      <c r="J1" s="31"/>
      <c r="K1" s="31"/>
      <c r="L1" s="31"/>
    </row>
    <row r="2" customFormat="false" ht="15" hidden="false" customHeight="true" outlineLevel="0" collapsed="false">
      <c r="A2" s="32" t="s">
        <v>149</v>
      </c>
      <c r="B2" s="32"/>
      <c r="C2" s="32"/>
      <c r="D2" s="32"/>
      <c r="E2" s="32"/>
      <c r="F2" s="32"/>
      <c r="G2" s="32"/>
      <c r="H2" s="32"/>
      <c r="I2" s="32"/>
      <c r="J2" s="32"/>
      <c r="K2" s="32"/>
      <c r="L2" s="32"/>
    </row>
    <row r="3" customFormat="false" ht="15" hidden="false" customHeight="true" outlineLevel="0" collapsed="false">
      <c r="A3" s="4"/>
      <c r="B3" s="4"/>
      <c r="C3" s="4"/>
      <c r="D3" s="4"/>
      <c r="E3" s="4"/>
      <c r="F3" s="4"/>
      <c r="G3" s="4"/>
      <c r="H3" s="4"/>
    </row>
    <row r="4" customFormat="false" ht="15" hidden="false" customHeight="true" outlineLevel="0" collapsed="false">
      <c r="A4" s="5" t="s">
        <v>150</v>
      </c>
      <c r="B4" s="33" t="s">
        <v>151</v>
      </c>
      <c r="C4" s="34" t="s">
        <v>152</v>
      </c>
      <c r="D4" s="34"/>
      <c r="E4" s="34"/>
      <c r="F4" s="34"/>
      <c r="G4" s="34"/>
      <c r="H4" s="34"/>
      <c r="I4" s="34"/>
      <c r="J4" s="34"/>
      <c r="K4" s="34"/>
      <c r="L4" s="34"/>
    </row>
    <row r="5" customFormat="false" ht="15" hidden="false" customHeight="true" outlineLevel="0" collapsed="false">
      <c r="A5" s="4" t="s">
        <v>153</v>
      </c>
      <c r="B5" s="35" t="n">
        <f aca="false">COUNTA('Data Input'!D6:D143)</f>
        <v>138</v>
      </c>
      <c r="C5" s="36" t="s">
        <v>154</v>
      </c>
      <c r="D5" s="36"/>
      <c r="E5" s="36"/>
      <c r="F5" s="36"/>
      <c r="G5" s="36"/>
      <c r="H5" s="36"/>
      <c r="I5" s="36"/>
      <c r="J5" s="36"/>
      <c r="K5" s="36"/>
      <c r="L5" s="36"/>
    </row>
    <row r="6" customFormat="false" ht="15" hidden="false" customHeight="true" outlineLevel="0" collapsed="false">
      <c r="A6" s="4" t="s">
        <v>155</v>
      </c>
      <c r="B6" s="35" t="n">
        <f aca="false">COUNTIF('Data Input'!L6:L143,"&gt;2")</f>
        <v>53</v>
      </c>
      <c r="C6" s="36" t="s">
        <v>156</v>
      </c>
      <c r="D6" s="36"/>
      <c r="E6" s="36"/>
      <c r="F6" s="36"/>
      <c r="G6" s="36"/>
      <c r="H6" s="36"/>
      <c r="I6" s="36"/>
      <c r="J6" s="36"/>
      <c r="K6" s="36"/>
      <c r="L6" s="36"/>
    </row>
    <row r="7" customFormat="false" ht="15" hidden="false" customHeight="true" outlineLevel="0" collapsed="false">
      <c r="A7" s="4" t="s">
        <v>32</v>
      </c>
      <c r="B7" s="37" t="n">
        <f aca="false" t="array" ref="B7:B7">SUM(--(COUNTIFS('Data Input'!C6:C143,{"Monday","Tuesday","Wednesday","Thursday","Friday","Saturday","Sunday"},'Data Input'!L6:L143,"&gt;2")&gt;0))</f>
        <v>6</v>
      </c>
      <c r="C7" s="36" t="s">
        <v>157</v>
      </c>
      <c r="D7" s="36"/>
      <c r="E7" s="36"/>
      <c r="F7" s="36"/>
      <c r="G7" s="36"/>
      <c r="H7" s="36"/>
      <c r="I7" s="36"/>
      <c r="J7" s="36"/>
      <c r="K7" s="36"/>
      <c r="L7" s="36"/>
    </row>
    <row r="8" customFormat="false" ht="15" hidden="false" customHeight="true" outlineLevel="0" collapsed="false">
      <c r="A8" s="4" t="s">
        <v>158</v>
      </c>
      <c r="B8" s="37" t="n">
        <f aca="false" t="array" ref="B8:B8">SUM(--(((SUMIFS(I27:I32,A27:A32,{"Monday","Tuesday","Wednesday","Thursday","Friday","Saturday","Sunday"})))&gt;7%))</f>
        <v>4</v>
      </c>
      <c r="C8" s="36" t="s">
        <v>159</v>
      </c>
      <c r="D8" s="36"/>
      <c r="E8" s="36"/>
      <c r="F8" s="36"/>
      <c r="G8" s="36"/>
      <c r="H8" s="36"/>
      <c r="I8" s="36"/>
      <c r="J8" s="36"/>
      <c r="K8" s="36"/>
      <c r="L8" s="36"/>
    </row>
    <row r="9" customFormat="false" ht="15" hidden="false" customHeight="true" outlineLevel="0" collapsed="false">
      <c r="A9" s="4" t="s">
        <v>160</v>
      </c>
      <c r="B9" s="38" t="n">
        <f aca="false">MAX('Data Input'!L6:L143)</f>
        <v>17.8333333333333</v>
      </c>
      <c r="C9" s="36" t="s">
        <v>161</v>
      </c>
      <c r="D9" s="36"/>
      <c r="E9" s="36"/>
      <c r="F9" s="36"/>
      <c r="G9" s="36"/>
      <c r="H9" s="36"/>
      <c r="I9" s="36"/>
      <c r="J9" s="36"/>
      <c r="K9" s="36"/>
      <c r="L9" s="36"/>
    </row>
    <row r="10" customFormat="false" ht="15" hidden="false" customHeight="true" outlineLevel="0" collapsed="false">
      <c r="A10" s="4" t="s">
        <v>162</v>
      </c>
      <c r="B10" s="35" t="n">
        <f aca="false">SUM('Data Input'!F6:F143)</f>
        <v>26213</v>
      </c>
      <c r="C10" s="36" t="s">
        <v>163</v>
      </c>
      <c r="D10" s="36"/>
      <c r="E10" s="36"/>
      <c r="F10" s="36"/>
      <c r="G10" s="36"/>
      <c r="H10" s="36"/>
      <c r="I10" s="36"/>
      <c r="J10" s="36"/>
      <c r="K10" s="36"/>
      <c r="L10" s="36"/>
    </row>
    <row r="11" customFormat="false" ht="15" hidden="false" customHeight="true" outlineLevel="0" collapsed="false">
      <c r="A11" s="4" t="s">
        <v>164</v>
      </c>
      <c r="B11" s="35" t="n">
        <f aca="false">SUM('Data Input'!H6:H143)</f>
        <v>2623</v>
      </c>
      <c r="C11" s="36" t="s">
        <v>165</v>
      </c>
      <c r="D11" s="36"/>
      <c r="E11" s="36"/>
      <c r="F11" s="36"/>
      <c r="G11" s="36"/>
      <c r="H11" s="36"/>
      <c r="I11" s="36"/>
      <c r="J11" s="36"/>
      <c r="K11" s="36"/>
      <c r="L11" s="36"/>
    </row>
    <row r="12" customFormat="false" ht="15" hidden="false" customHeight="true" outlineLevel="0" collapsed="false">
      <c r="A12" s="4" t="s">
        <v>166</v>
      </c>
      <c r="B12" s="39" t="n">
        <f aca="false">B11/SUM('Data Input'!F6:F143)</f>
        <v>0.100064853317056</v>
      </c>
      <c r="C12" s="36" t="s">
        <v>167</v>
      </c>
      <c r="D12" s="36"/>
      <c r="E12" s="36"/>
      <c r="F12" s="36"/>
      <c r="G12" s="36"/>
      <c r="H12" s="36"/>
      <c r="I12" s="36"/>
      <c r="J12" s="36"/>
      <c r="K12" s="36"/>
      <c r="L12" s="36"/>
    </row>
    <row r="13" customFormat="false" ht="15" hidden="false" customHeight="true" outlineLevel="0" collapsed="false">
      <c r="A13" s="4" t="s">
        <v>168</v>
      </c>
      <c r="B13" s="39" t="n">
        <f aca="false">((SUM('Data Input'!F6:F143)-SUM('Data Input'!E6:E143))/SUM('Data Input'!E6:E143))</f>
        <v>0.0384676333095634</v>
      </c>
      <c r="C13" s="36" t="s">
        <v>169</v>
      </c>
      <c r="D13" s="36"/>
      <c r="E13" s="36"/>
      <c r="F13" s="36"/>
      <c r="G13" s="36"/>
      <c r="H13" s="36"/>
      <c r="I13" s="36"/>
      <c r="J13" s="36"/>
      <c r="K13" s="36"/>
      <c r="L13" s="36"/>
    </row>
    <row r="14" customFormat="false" ht="15" hidden="false" customHeight="true" outlineLevel="0" collapsed="false">
      <c r="A14" s="4"/>
      <c r="B14" s="4"/>
      <c r="C14" s="4"/>
      <c r="D14" s="4"/>
      <c r="E14" s="4"/>
      <c r="F14" s="4"/>
      <c r="G14" s="4"/>
      <c r="H14" s="4"/>
    </row>
    <row r="15" customFormat="false" ht="15" hidden="false" customHeight="true" outlineLevel="0" collapsed="false">
      <c r="A15" s="4"/>
      <c r="B15" s="4"/>
      <c r="C15" s="4"/>
      <c r="D15" s="4"/>
      <c r="E15" s="4"/>
      <c r="F15" s="4"/>
      <c r="G15" s="4"/>
      <c r="H15" s="4"/>
    </row>
    <row r="16" customFormat="false" ht="15" hidden="false" customHeight="true" outlineLevel="0" collapsed="false">
      <c r="A16" s="40" t="s">
        <v>170</v>
      </c>
      <c r="B16" s="40"/>
      <c r="C16" s="40"/>
      <c r="D16" s="40"/>
      <c r="E16" s="40"/>
      <c r="F16" s="40"/>
      <c r="G16" s="40"/>
      <c r="H16" s="40"/>
      <c r="I16" s="40"/>
      <c r="J16" s="40"/>
      <c r="K16" s="40"/>
      <c r="L16" s="40"/>
    </row>
    <row r="17" customFormat="false" ht="15" hidden="false" customHeight="true" outlineLevel="0" collapsed="false">
      <c r="A17" s="41" t="s">
        <v>171</v>
      </c>
      <c r="B17" s="41"/>
      <c r="C17" s="41"/>
      <c r="D17" s="41"/>
      <c r="E17" s="41"/>
      <c r="F17" s="41"/>
      <c r="G17" s="41"/>
      <c r="H17" s="41"/>
      <c r="I17" s="41"/>
      <c r="J17" s="41"/>
      <c r="K17" s="41"/>
      <c r="L17" s="41"/>
    </row>
    <row r="18" customFormat="false" ht="15" hidden="false" customHeight="true" outlineLevel="0" collapsed="false">
      <c r="A18" s="41"/>
      <c r="B18" s="41"/>
      <c r="C18" s="41"/>
      <c r="D18" s="41"/>
      <c r="E18" s="41"/>
      <c r="F18" s="41"/>
      <c r="G18" s="41"/>
      <c r="H18" s="41"/>
      <c r="I18" s="41"/>
      <c r="J18" s="41"/>
      <c r="K18" s="41"/>
      <c r="L18" s="41"/>
    </row>
    <row r="19" customFormat="false" ht="15" hidden="false" customHeight="true" outlineLevel="0" collapsed="false">
      <c r="A19" s="41"/>
      <c r="B19" s="41"/>
      <c r="C19" s="41"/>
      <c r="D19" s="41"/>
      <c r="E19" s="41"/>
      <c r="F19" s="41"/>
      <c r="G19" s="41"/>
      <c r="H19" s="41"/>
      <c r="I19" s="41"/>
      <c r="J19" s="41"/>
      <c r="K19" s="41"/>
      <c r="L19" s="41"/>
    </row>
    <row r="20" customFormat="false" ht="15" hidden="false" customHeight="true" outlineLevel="0" collapsed="false">
      <c r="A20" s="41"/>
      <c r="B20" s="41"/>
      <c r="C20" s="41"/>
      <c r="D20" s="41"/>
      <c r="E20" s="41"/>
      <c r="F20" s="41"/>
      <c r="G20" s="41"/>
      <c r="H20" s="41"/>
      <c r="I20" s="41"/>
      <c r="J20" s="41"/>
      <c r="K20" s="41"/>
      <c r="L20" s="41"/>
    </row>
    <row r="21" customFormat="false" ht="15" hidden="false" customHeight="true" outlineLevel="0" collapsed="false">
      <c r="A21" s="41"/>
      <c r="B21" s="41"/>
      <c r="C21" s="41"/>
      <c r="D21" s="41"/>
      <c r="E21" s="41"/>
      <c r="F21" s="41"/>
      <c r="G21" s="41"/>
      <c r="H21" s="41"/>
      <c r="I21" s="41"/>
      <c r="J21" s="41"/>
      <c r="K21" s="41"/>
      <c r="L21" s="41"/>
    </row>
    <row r="22" customFormat="false" ht="15" hidden="false" customHeight="true" outlineLevel="0" collapsed="false">
      <c r="A22" s="41"/>
      <c r="B22" s="41"/>
      <c r="C22" s="41"/>
      <c r="D22" s="41"/>
      <c r="E22" s="41"/>
      <c r="F22" s="41"/>
      <c r="G22" s="41"/>
      <c r="H22" s="41"/>
      <c r="I22" s="41"/>
      <c r="J22" s="41"/>
      <c r="K22" s="41"/>
      <c r="L22" s="41"/>
    </row>
    <row r="23" customFormat="false" ht="15" hidden="false" customHeight="true" outlineLevel="0" collapsed="false">
      <c r="A23" s="41"/>
      <c r="B23" s="41"/>
      <c r="C23" s="41"/>
      <c r="D23" s="41"/>
      <c r="E23" s="41"/>
      <c r="F23" s="41"/>
      <c r="G23" s="41"/>
      <c r="H23" s="41"/>
      <c r="I23" s="41"/>
      <c r="J23" s="41"/>
      <c r="K23" s="41"/>
      <c r="L23" s="41"/>
    </row>
    <row r="24" customFormat="false" ht="15" hidden="false" customHeight="true" outlineLevel="0" collapsed="false">
      <c r="A24" s="4"/>
      <c r="B24" s="4"/>
      <c r="C24" s="4"/>
      <c r="D24" s="4"/>
      <c r="E24" s="4"/>
      <c r="F24" s="4"/>
      <c r="G24" s="4"/>
      <c r="H24" s="4"/>
    </row>
    <row r="25" customFormat="false" ht="15" hidden="false" customHeight="true" outlineLevel="0" collapsed="false">
      <c r="A25" s="5" t="s">
        <v>172</v>
      </c>
      <c r="B25" s="4"/>
      <c r="C25" s="4"/>
      <c r="D25" s="4"/>
      <c r="E25" s="4"/>
      <c r="F25" s="4"/>
      <c r="G25" s="4"/>
      <c r="H25" s="4"/>
    </row>
    <row r="26" s="44" customFormat="true" ht="30" hidden="false" customHeight="true" outlineLevel="0" collapsed="false">
      <c r="A26" s="42" t="s">
        <v>119</v>
      </c>
      <c r="B26" s="43" t="s">
        <v>173</v>
      </c>
      <c r="C26" s="43" t="s">
        <v>174</v>
      </c>
      <c r="D26" s="43" t="s">
        <v>175</v>
      </c>
      <c r="E26" s="43" t="s">
        <v>176</v>
      </c>
      <c r="F26" s="43" t="s">
        <v>177</v>
      </c>
      <c r="G26" s="43" t="s">
        <v>178</v>
      </c>
      <c r="H26" s="43" t="s">
        <v>179</v>
      </c>
      <c r="I26" s="43" t="s">
        <v>125</v>
      </c>
      <c r="J26" s="43" t="s">
        <v>180</v>
      </c>
      <c r="K26" s="43" t="s">
        <v>181</v>
      </c>
      <c r="L26" s="43" t="s">
        <v>182</v>
      </c>
      <c r="M26" s="43" t="s">
        <v>183</v>
      </c>
      <c r="N26" s="43" t="s">
        <v>184</v>
      </c>
      <c r="O26" s="43" t="s">
        <v>185</v>
      </c>
    </row>
    <row r="27" customFormat="false" ht="15" hidden="false" customHeight="true" outlineLevel="0" collapsed="false">
      <c r="A27" s="45" t="s">
        <v>136</v>
      </c>
      <c r="B27" s="46" t="n">
        <f aca="false">COUNTIFS('Data Input'!C:C,A27,'Data Input'!L:L,"&gt;2")</f>
        <v>16</v>
      </c>
      <c r="C27" s="46" t="n">
        <f aca="false">SUMIFS(DataInput[Forecast Calls],DataInput[Day],A27)</f>
        <v>5930</v>
      </c>
      <c r="D27" s="46" t="n">
        <f aca="false">SUMIFS(DataInput[Offered Calls],DataInput[Day],A27)</f>
        <v>6537</v>
      </c>
      <c r="E27" s="46" t="n">
        <f aca="false">SUMIFS(DataInput[Handled Calls],DataInput[Day],A27)</f>
        <v>5840</v>
      </c>
      <c r="F27" s="46" t="n">
        <f aca="false">SUMIFS('Data Input'!J:J,'Data Input'!C:C,A27)</f>
        <v>537</v>
      </c>
      <c r="G27" s="47" t="n">
        <f aca="false">IFERROR(F27/D27,0)</f>
        <v>0.0821477742083525</v>
      </c>
      <c r="H27" s="46" t="n">
        <f aca="false">SUMIFS('Data Input'!F:F,'Data Input'!C:C,A27)-SUMIFS('Data Input'!G:G,'Data Input'!C:C,A27)</f>
        <v>697</v>
      </c>
      <c r="I27" s="47" t="n">
        <f aca="false">IFERROR(H27/D27,0)</f>
        <v>0.106623833562796</v>
      </c>
      <c r="J27" s="47" t="n">
        <f aca="false">(D27-C27)/C27</f>
        <v>0.102360876897133</v>
      </c>
      <c r="K27" s="48" t="n">
        <f aca="false" t="array" ref="K27:K27">SUMPRODUCT(IF(DataInput[Day]=A27,DataInput[Handled Calls]*DataInput[AHT Seconds]))/E27</f>
        <v>456.528551090572</v>
      </c>
      <c r="L27" s="49" t="n">
        <f aca="false" t="array" ref="L27:L27">SUMPRODUCT(IF(DataInput[Day]=A27,DataInput[Handled Calls]*DataInput[AWT Minutes]))/E27</f>
        <v>2.46043378995434</v>
      </c>
      <c r="M27" s="50" t="str">
        <f aca="false">IF(L27&gt;2,IF(I27&gt;7%,"AWT Miss + Abandon &gt;7%","AWT Miss"),IF(I27&gt;7%,"Abandon &gt;7%","OK"))</f>
        <v>AWT Miss + Abandon &gt;7%</v>
      </c>
      <c r="N27" s="39" t="n">
        <v>0.0700989119683482</v>
      </c>
      <c r="O27" s="1" t="s">
        <v>186</v>
      </c>
    </row>
    <row r="28" customFormat="false" ht="15" hidden="false" customHeight="true" outlineLevel="0" collapsed="false">
      <c r="A28" s="45" t="s">
        <v>137</v>
      </c>
      <c r="B28" s="46" t="n">
        <f aca="false">COUNTIFS('Data Input'!C:C,A28,'Data Input'!L:L,"&gt;2")</f>
        <v>1</v>
      </c>
      <c r="C28" s="46" t="n">
        <f aca="false">SUMIFS(DataInput[Forecast Calls],DataInput[Day],A28)</f>
        <v>4805</v>
      </c>
      <c r="D28" s="46" t="n">
        <f aca="false">SUMIFS(DataInput[Offered Calls],DataInput[Day],A28)</f>
        <v>4139</v>
      </c>
      <c r="E28" s="46" t="n">
        <f aca="false">SUMIFS(DataInput[Handled Calls],DataInput[Day],A28)</f>
        <v>4010</v>
      </c>
      <c r="F28" s="46" t="n">
        <f aca="false">SUMIFS('Data Input'!J:J,'Data Input'!C:C,A28)</f>
        <v>42</v>
      </c>
      <c r="G28" s="47" t="n">
        <f aca="false">IFERROR(F28/D28,0)</f>
        <v>0.0101473785938633</v>
      </c>
      <c r="H28" s="46" t="n">
        <f aca="false">SUMIFS('Data Input'!F:F,'Data Input'!C:C,A28)-SUMIFS('Data Input'!G:G,'Data Input'!C:C,A28)</f>
        <v>129</v>
      </c>
      <c r="I28" s="47" t="n">
        <f aca="false">IFERROR(H28/D28,0)</f>
        <v>0.0311669485382943</v>
      </c>
      <c r="J28" s="47" t="n">
        <f aca="false">(D28-C28)/C28</f>
        <v>-0.138605619146722</v>
      </c>
      <c r="K28" s="48" t="n">
        <f aca="false" t="array" ref="K28:K28">SUMPRODUCT(IF(DataInput[Day]=A28,DataInput[Handled Calls]*DataInput[AHT Seconds]))/E28</f>
        <v>440.7064226036</v>
      </c>
      <c r="L28" s="49" t="n">
        <f aca="false" t="array" ref="L28:L28">SUMPRODUCT(IF(DataInput[Day]=A28,DataInput[Handled Calls]*DataInput[AWT Minutes]))/E28</f>
        <v>0.377959268495428</v>
      </c>
      <c r="M28" s="50" t="str">
        <f aca="false">IF(L28&gt;2,IF(I28&gt;7%,"AWT Miss + Abandon &gt;7%","AWT Miss"),IF(I28&gt;7%,"Abandon &gt;7%","OK"))</f>
        <v>OK</v>
      </c>
      <c r="N28" s="39" t="n">
        <v>0.0616774193548387</v>
      </c>
    </row>
    <row r="29" customFormat="false" ht="15" hidden="false" customHeight="true" outlineLevel="0" collapsed="false">
      <c r="A29" s="45" t="s">
        <v>138</v>
      </c>
      <c r="B29" s="46" t="n">
        <f aca="false">COUNTIFS('Data Input'!C:C,A29,'Data Input'!L:L,"&gt;2")</f>
        <v>17</v>
      </c>
      <c r="C29" s="46" t="n">
        <f aca="false">SUMIFS(DataInput[Forecast Calls],DataInput[Day],A29)</f>
        <v>4490</v>
      </c>
      <c r="D29" s="46" t="n">
        <f aca="false">SUMIFS(DataInput[Offered Calls],DataInput[Day],A29)</f>
        <v>4958</v>
      </c>
      <c r="E29" s="46" t="n">
        <f aca="false">SUMIFS(DataInput[Handled Calls],DataInput[Day],A29)</f>
        <v>4169</v>
      </c>
      <c r="F29" s="46" t="n">
        <f aca="false">SUMIFS('Data Input'!J:J,'Data Input'!C:C,A29)</f>
        <v>695</v>
      </c>
      <c r="G29" s="47" t="n">
        <f aca="false">IFERROR(F29/D29,0)</f>
        <v>0.14017749092376</v>
      </c>
      <c r="H29" s="46" t="n">
        <f aca="false">SUMIFS('Data Input'!F:F,'Data Input'!C:C,A29)-SUMIFS('Data Input'!G:G,'Data Input'!C:C,A29)</f>
        <v>789</v>
      </c>
      <c r="I29" s="47" t="n">
        <f aca="false">IFERROR(H29/D29,0)</f>
        <v>0.159136748688988</v>
      </c>
      <c r="J29" s="47" t="n">
        <f aca="false">(D29-C29)/C29</f>
        <v>0.104231625835189</v>
      </c>
      <c r="K29" s="48" t="n">
        <f aca="false" t="array" ref="K29:K29">SUMPRODUCT(IF(DataInput[Day]=A29,DataInput[Handled Calls]*DataInput[AHT Seconds]))/E29</f>
        <v>442.157411252165</v>
      </c>
      <c r="L29" s="49" t="n">
        <f aca="false" t="array" ref="L29:L29">SUMPRODUCT(IF(DataInput[Day]=A29,DataInput[Handled Calls]*DataInput[AWT Minutes]))/E29</f>
        <v>3.46698248980571</v>
      </c>
      <c r="M29" s="50" t="str">
        <f aca="false">IF(L29&gt;2,IF(I29&gt;7%,"AWT Miss + Abandon &gt;7%","AWT Miss"),IF(I29&gt;7%,"Abandon &gt;7%","OK"))</f>
        <v>AWT Miss + Abandon &gt;7%</v>
      </c>
      <c r="N29" s="39" t="n">
        <v>0.0755970149253731</v>
      </c>
      <c r="O29" s="1" t="s">
        <v>187</v>
      </c>
    </row>
    <row r="30" customFormat="false" ht="15" hidden="false" customHeight="true" outlineLevel="0" collapsed="false">
      <c r="A30" s="45" t="s">
        <v>139</v>
      </c>
      <c r="B30" s="46" t="n">
        <f aca="false">COUNTIFS('Data Input'!C:C,A30,'Data Input'!L:L,"&gt;2")</f>
        <v>11</v>
      </c>
      <c r="C30" s="46" t="n">
        <f aca="false">SUMIFS(DataInput[Forecast Calls],DataInput[Day],A30)</f>
        <v>4033</v>
      </c>
      <c r="D30" s="46" t="n">
        <f aca="false">SUMIFS(DataInput[Offered Calls],DataInput[Day],A30)</f>
        <v>4058</v>
      </c>
      <c r="E30" s="46" t="n">
        <f aca="false">SUMIFS(DataInput[Handled Calls],DataInput[Day],A30)</f>
        <v>3554</v>
      </c>
      <c r="F30" s="46" t="n">
        <f aca="false">SUMIFS('Data Input'!J:J,'Data Input'!C:C,A30)</f>
        <v>425</v>
      </c>
      <c r="G30" s="47" t="n">
        <f aca="false">IFERROR(F30/D30,0)</f>
        <v>0.104731394775752</v>
      </c>
      <c r="H30" s="46" t="n">
        <f aca="false">SUMIFS('Data Input'!F:F,'Data Input'!C:C,A30)-SUMIFS('Data Input'!G:G,'Data Input'!C:C,A30)</f>
        <v>504</v>
      </c>
      <c r="I30" s="47" t="n">
        <f aca="false">IFERROR(H30/D30,0)</f>
        <v>0.12419911286348</v>
      </c>
      <c r="J30" s="47" t="n">
        <f aca="false">(D30-C30)/C30</f>
        <v>0.00619885940986858</v>
      </c>
      <c r="K30" s="48" t="n">
        <f aca="false" t="array" ref="K30:K30">SUMPRODUCT(IF(DataInput[Day]=A30,DataInput[Handled Calls]*DataInput[AHT Seconds]))/E30</f>
        <v>438.380314020538</v>
      </c>
      <c r="L30" s="49" t="n">
        <f aca="false" t="array" ref="L30:L30">SUMPRODUCT(IF(DataInput[Day]=A30,DataInput[Handled Calls]*DataInput[AWT Minutes]))/E30</f>
        <v>2.74476646032639</v>
      </c>
      <c r="M30" s="50" t="str">
        <f aca="false">IF(L30&gt;2,IF(I30&gt;7%,"AWT Miss + Abandon &gt;7%","AWT Miss"),IF(I30&gt;7%,"Abandon &gt;7%","OK"))</f>
        <v>AWT Miss + Abandon &gt;7%</v>
      </c>
      <c r="N30" s="39" t="n">
        <v>0.0659368703828073</v>
      </c>
      <c r="O30" s="1" t="s">
        <v>188</v>
      </c>
    </row>
    <row r="31" customFormat="false" ht="15" hidden="false" customHeight="true" outlineLevel="0" collapsed="false">
      <c r="A31" s="45" t="s">
        <v>140</v>
      </c>
      <c r="B31" s="46" t="n">
        <f aca="false">COUNTIFS('Data Input'!C:C,A31,'Data Input'!L:L,"&gt;2")</f>
        <v>6</v>
      </c>
      <c r="C31" s="46" t="n">
        <f aca="false">SUMIFS(DataInput[Forecast Calls],DataInput[Day],A31)</f>
        <v>4378</v>
      </c>
      <c r="D31" s="46" t="n">
        <f aca="false">SUMIFS(DataInput[Offered Calls],DataInput[Day],A31)</f>
        <v>4647</v>
      </c>
      <c r="E31" s="46" t="n">
        <f aca="false">SUMIFS(DataInput[Handled Calls],DataInput[Day],A31)</f>
        <v>4251</v>
      </c>
      <c r="F31" s="46" t="n">
        <f aca="false">SUMIFS('Data Input'!J:J,'Data Input'!C:C,A31)</f>
        <v>279</v>
      </c>
      <c r="G31" s="47" t="n">
        <f aca="false">IFERROR(F31/D31,0)</f>
        <v>0.0600387346675274</v>
      </c>
      <c r="H31" s="46" t="n">
        <f aca="false">SUMIFS('Data Input'!F:F,'Data Input'!C:C,A31)-SUMIFS('Data Input'!G:G,'Data Input'!C:C,A31)</f>
        <v>396</v>
      </c>
      <c r="I31" s="47" t="n">
        <f aca="false">IFERROR(H31/D31,0)</f>
        <v>0.0852162685603615</v>
      </c>
      <c r="J31" s="47" t="n">
        <f aca="false">(D31-C31)/C31</f>
        <v>0.0614435815440841</v>
      </c>
      <c r="K31" s="48" t="n">
        <f aca="false" t="array" ref="K31:K31">SUMPRODUCT(IF(DataInput[Day]=A31,DataInput[Handled Calls]*DataInput[AHT Seconds]))/E31</f>
        <v>426.253556562563</v>
      </c>
      <c r="L31" s="49" t="n">
        <f aca="false" t="array" ref="L31:L31">SUMPRODUCT(IF(DataInput[Day]=A31,DataInput[Handled Calls]*DataInput[AWT Minutes]))/E31</f>
        <v>1.78673253352152</v>
      </c>
      <c r="M31" s="50" t="str">
        <f aca="false">IF(L31&gt;2,IF(I31&gt;7%,"AWT Miss + Abandon &gt;7%","AWT Miss"),IF(I31&gt;7%,"Abandon &gt;7%","OK"))</f>
        <v>Abandon &gt;7%</v>
      </c>
      <c r="N31" s="39" t="n">
        <v>0.0666827212522577</v>
      </c>
      <c r="O31" s="1" t="s">
        <v>189</v>
      </c>
    </row>
    <row r="32" customFormat="false" ht="15" hidden="false" customHeight="true" outlineLevel="0" collapsed="false">
      <c r="A32" s="45" t="s">
        <v>141</v>
      </c>
      <c r="B32" s="46" t="n">
        <f aca="false">COUNTIFS('Data Input'!C:C,A32,'Data Input'!L:L,"&gt;2")</f>
        <v>2</v>
      </c>
      <c r="C32" s="46" t="n">
        <f aca="false">SUMIFS(DataInput[Forecast Calls],DataInput[Day],A32)</f>
        <v>1606</v>
      </c>
      <c r="D32" s="46" t="n">
        <f aca="false">SUMIFS(DataInput[Offered Calls],DataInput[Day],A32)</f>
        <v>1874</v>
      </c>
      <c r="E32" s="46" t="n">
        <f aca="false">SUMIFS(DataInput[Handled Calls],DataInput[Day],A32)</f>
        <v>1766</v>
      </c>
      <c r="F32" s="46" t="n">
        <f aca="false">SUMIFS('Data Input'!J:J,'Data Input'!C:C,A32)</f>
        <v>64</v>
      </c>
      <c r="G32" s="47" t="n">
        <f aca="false">IFERROR(F32/D32,0)</f>
        <v>0.0341515474919957</v>
      </c>
      <c r="H32" s="46" t="n">
        <f aca="false">SUMIFS('Data Input'!F:F,'Data Input'!C:C,A32)-SUMIFS('Data Input'!G:G,'Data Input'!C:C,A32)</f>
        <v>108</v>
      </c>
      <c r="I32" s="47" t="n">
        <f aca="false">IFERROR(H32/D32,0)</f>
        <v>0.0576307363927428</v>
      </c>
      <c r="J32" s="47" t="n">
        <f aca="false">(D32-C32)/C32</f>
        <v>0.166874221668742</v>
      </c>
      <c r="K32" s="48" t="n">
        <f aca="false" t="array" ref="K32:K32">SUMPRODUCT(IF(DataInput[Day]=A32,DataInput[Handled Calls]*DataInput[AHT Seconds]))/E32</f>
        <v>454.953057733896</v>
      </c>
      <c r="L32" s="49" t="n">
        <f aca="false" t="array" ref="L32:L32">SUMPRODUCT(IF(DataInput[Day]=A32,DataInput[Handled Calls]*DataInput[AWT Minutes]))/E32</f>
        <v>1.06431672329181</v>
      </c>
      <c r="M32" s="50" t="str">
        <f aca="false">IF(L32&gt;2,IF(I32&gt;7%,"AWT Miss + Abandon &gt;7%","AWT Miss"),IF(I32&gt;7%,"Abandon &gt;7%","OK"))</f>
        <v>OK</v>
      </c>
      <c r="N32" s="39" t="n">
        <v>0.114281914893617</v>
      </c>
    </row>
    <row r="33" customFormat="false" ht="15.75" hidden="false" customHeight="true" outlineLevel="0" collapsed="false">
      <c r="A33" s="51" t="s">
        <v>190</v>
      </c>
      <c r="B33" s="52" t="n">
        <f aca="false">SUM(B27:B32)</f>
        <v>53</v>
      </c>
      <c r="C33" s="52" t="n">
        <f aca="false">SUM(C27:C32)</f>
        <v>25242</v>
      </c>
      <c r="D33" s="52" t="n">
        <f aca="false">SUM(D27:D32)</f>
        <v>26213</v>
      </c>
      <c r="E33" s="52" t="n">
        <f aca="false">SUM(E27:E32)</f>
        <v>23590</v>
      </c>
      <c r="F33" s="52" t="n">
        <f aca="false">SUM(F27:F32)</f>
        <v>2042</v>
      </c>
      <c r="G33" s="53" t="n">
        <f aca="false">IFERROR(F33/D33,0)</f>
        <v>0.0779002784877732</v>
      </c>
      <c r="H33" s="52" t="n">
        <f aca="false">SUM(H27:H32)</f>
        <v>2623</v>
      </c>
      <c r="I33" s="53" t="n">
        <f aca="false">IFERROR(H33/D33,0)</f>
        <v>0.100064853317056</v>
      </c>
      <c r="J33" s="53" t="n">
        <f aca="false">(D33-C33)/C33</f>
        <v>0.0384676333095634</v>
      </c>
      <c r="K33" s="54" t="n">
        <f aca="false" t="array" ref="K33:K33">SUMPRODUCT(DataInput[Handled Calls]*DataInput[AHT Seconds])/E33</f>
        <v>442.991451693691</v>
      </c>
      <c r="L33" s="55" t="n">
        <f aca="false" t="array" ref="L33:L33">SUMPRODUCT(DataInput[Handled Calls]*DataInput[AWT Minutes])/E33</f>
        <v>2.10124134520277</v>
      </c>
      <c r="M33" s="56"/>
      <c r="N33" s="57" t="n">
        <v>0.0716460817717206</v>
      </c>
      <c r="O33" s="58"/>
    </row>
    <row r="34" customFormat="false" ht="15.75" hidden="false" customHeight="true" outlineLevel="0" collapsed="false"/>
  </sheetData>
  <mergeCells count="14">
    <mergeCell ref="A1:L1"/>
    <mergeCell ref="A2:L2"/>
    <mergeCell ref="C4:L4"/>
    <mergeCell ref="C5:L5"/>
    <mergeCell ref="C6:L6"/>
    <mergeCell ref="C7:L7"/>
    <mergeCell ref="C8:L8"/>
    <mergeCell ref="C9:L9"/>
    <mergeCell ref="C10:L10"/>
    <mergeCell ref="C11:L11"/>
    <mergeCell ref="C12:L12"/>
    <mergeCell ref="C13:L13"/>
    <mergeCell ref="A16:L16"/>
    <mergeCell ref="A17:L23"/>
  </mergeCells>
  <conditionalFormatting sqref="O33">
    <cfRule type="cellIs" priority="2" operator="equal" aboveAverage="0" equalAverage="0" bottom="0" percent="0" rank="0" text="" dxfId="9">
      <formula>"Abandon &gt;7%"</formula>
    </cfRule>
  </conditionalFormatting>
  <conditionalFormatting sqref="M27:M33">
    <cfRule type="cellIs" priority="3" operator="equal" aboveAverage="0" equalAverage="0" bottom="0" percent="0" rank="0" text="" dxfId="9">
      <formula>"Abandon &gt;7%"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45"/>
    <col collapsed="false" customWidth="true" hidden="false" outlineLevel="0" max="4" min="4" style="1" width="18"/>
    <col collapsed="false" customWidth="true" hidden="false" outlineLevel="0" max="5" min="5" style="1" width="12"/>
    <col collapsed="false" customWidth="true" hidden="false" outlineLevel="0" max="6" min="6" style="1" width="45"/>
    <col collapsed="false" customWidth="true" hidden="false" outlineLevel="0" max="7" min="7" style="1" width="10"/>
    <col collapsed="false" customWidth="true" hidden="false" outlineLevel="0" max="8" min="8" style="1" width="45"/>
  </cols>
  <sheetData>
    <row r="1" customFormat="false" ht="24" hidden="false" customHeight="true" outlineLevel="0" collapsed="false">
      <c r="A1" s="2" t="s">
        <v>191</v>
      </c>
      <c r="B1" s="2"/>
      <c r="C1" s="2"/>
      <c r="D1" s="2"/>
      <c r="E1" s="2"/>
      <c r="F1" s="2"/>
      <c r="G1" s="2"/>
      <c r="H1" s="2"/>
    </row>
    <row r="2" customFormat="false" ht="15" hidden="false" customHeight="true" outlineLevel="0" collapsed="false">
      <c r="A2" s="3" t="s">
        <v>192</v>
      </c>
      <c r="B2" s="3"/>
      <c r="C2" s="3"/>
      <c r="D2" s="3"/>
      <c r="E2" s="3"/>
      <c r="F2" s="3"/>
      <c r="G2" s="3"/>
      <c r="H2" s="3"/>
    </row>
    <row r="3" customFormat="false" ht="15" hidden="false" customHeight="true" outlineLevel="0" collapsed="false">
      <c r="A3" s="5"/>
      <c r="B3" s="5"/>
      <c r="C3" s="5"/>
      <c r="D3" s="5"/>
      <c r="E3" s="5"/>
      <c r="F3" s="5"/>
      <c r="G3" s="5"/>
      <c r="H3" s="5"/>
    </row>
    <row r="4" customFormat="false" ht="15" hidden="false" customHeight="true" outlineLevel="0" collapsed="false">
      <c r="A4" s="59"/>
      <c r="B4" s="4"/>
      <c r="C4" s="4"/>
      <c r="D4" s="4"/>
      <c r="E4" s="60"/>
      <c r="F4" s="4"/>
      <c r="G4" s="4"/>
      <c r="H4" s="4"/>
    </row>
    <row r="5" customFormat="false" ht="15" hidden="false" customHeight="true" outlineLevel="0" collapsed="false">
      <c r="A5" s="6" t="s">
        <v>193</v>
      </c>
      <c r="B5" s="6" t="s">
        <v>194</v>
      </c>
      <c r="C5" s="6" t="s">
        <v>195</v>
      </c>
      <c r="D5" s="6" t="s">
        <v>21</v>
      </c>
      <c r="E5" s="10" t="s">
        <v>196</v>
      </c>
      <c r="F5" s="6" t="s">
        <v>197</v>
      </c>
      <c r="G5" s="6" t="s">
        <v>198</v>
      </c>
      <c r="H5" s="6" t="s">
        <v>199</v>
      </c>
    </row>
    <row r="6" customFormat="false" ht="90" hidden="false" customHeight="true" outlineLevel="0" collapsed="false">
      <c r="A6" s="61" t="s">
        <v>200</v>
      </c>
      <c r="B6" s="4" t="s">
        <v>201</v>
      </c>
      <c r="C6" s="4" t="s">
        <v>202</v>
      </c>
      <c r="D6" s="4" t="s">
        <v>203</v>
      </c>
      <c r="E6" s="60" t="s">
        <v>204</v>
      </c>
      <c r="F6" s="4" t="s">
        <v>205</v>
      </c>
      <c r="G6" s="4" t="s">
        <v>206</v>
      </c>
      <c r="H6" s="4" t="s">
        <v>207</v>
      </c>
    </row>
    <row r="7" customFormat="false" ht="15" hidden="false" customHeight="true" outlineLevel="0" collapsed="false">
      <c r="A7" s="61" t="s">
        <v>200</v>
      </c>
      <c r="B7" s="4" t="s">
        <v>208</v>
      </c>
      <c r="C7" s="4" t="s">
        <v>209</v>
      </c>
      <c r="D7" s="4" t="s">
        <v>210</v>
      </c>
      <c r="E7" s="60" t="s">
        <v>211</v>
      </c>
      <c r="F7" s="4" t="s">
        <v>212</v>
      </c>
      <c r="G7" s="4" t="s">
        <v>206</v>
      </c>
      <c r="H7" s="4" t="s">
        <v>213</v>
      </c>
    </row>
    <row r="8" customFormat="false" ht="30" hidden="false" customHeight="true" outlineLevel="0" collapsed="false">
      <c r="A8" s="59" t="s">
        <v>214</v>
      </c>
      <c r="B8" s="4" t="s">
        <v>215</v>
      </c>
      <c r="C8" s="4" t="s">
        <v>216</v>
      </c>
      <c r="D8" s="4" t="s">
        <v>217</v>
      </c>
      <c r="E8" s="60" t="s">
        <v>211</v>
      </c>
      <c r="F8" s="4" t="s">
        <v>218</v>
      </c>
      <c r="G8" s="4" t="s">
        <v>206</v>
      </c>
      <c r="H8" s="4" t="s">
        <v>219</v>
      </c>
    </row>
    <row r="9" customFormat="false" ht="15" hidden="false" customHeight="true" outlineLevel="0" collapsed="false">
      <c r="A9" s="59" t="s">
        <v>214</v>
      </c>
      <c r="B9" s="4" t="s">
        <v>220</v>
      </c>
      <c r="C9" s="4" t="s">
        <v>221</v>
      </c>
      <c r="D9" s="4" t="s">
        <v>222</v>
      </c>
      <c r="E9" s="60" t="s">
        <v>211</v>
      </c>
      <c r="F9" s="4" t="s">
        <v>223</v>
      </c>
      <c r="G9" s="4" t="s">
        <v>206</v>
      </c>
      <c r="H9" s="4" t="s">
        <v>224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C12" activeCellId="0" sqref="C12"/>
    </sheetView>
  </sheetViews>
  <sheetFormatPr defaultColWidth="8.6796875" defaultRowHeight="15" zeroHeight="false" outlineLevelRow="0" outlineLevelCol="0"/>
  <cols>
    <col collapsed="false" customWidth="true" hidden="false" outlineLevel="0" max="4" min="1" style="1" width="45"/>
    <col collapsed="false" customWidth="true" hidden="false" outlineLevel="0" max="8" min="5" style="1" width="10"/>
  </cols>
  <sheetData>
    <row r="1" customFormat="false" ht="24" hidden="false" customHeight="true" outlineLevel="0" collapsed="false">
      <c r="A1" s="2" t="s">
        <v>225</v>
      </c>
      <c r="B1" s="2"/>
      <c r="C1" s="2"/>
      <c r="D1" s="2"/>
      <c r="E1" s="2"/>
      <c r="F1" s="2"/>
      <c r="G1" s="2"/>
      <c r="H1" s="2"/>
    </row>
    <row r="2" customFormat="false" ht="34.5" hidden="false" customHeight="true" outlineLevel="0" collapsed="false">
      <c r="A2" s="3" t="s">
        <v>226</v>
      </c>
      <c r="B2" s="3"/>
      <c r="C2" s="3"/>
      <c r="D2" s="3"/>
      <c r="E2" s="3"/>
      <c r="F2" s="3"/>
      <c r="G2" s="3"/>
      <c r="H2" s="3"/>
    </row>
    <row r="3" customFormat="false" ht="15" hidden="false" customHeight="true" outlineLevel="0" collapsed="false">
      <c r="A3" s="5"/>
      <c r="B3" s="5"/>
      <c r="C3" s="5"/>
      <c r="D3" s="5"/>
      <c r="E3" s="5"/>
      <c r="F3" s="5"/>
      <c r="G3" s="5"/>
      <c r="H3" s="5"/>
    </row>
    <row r="4" customFormat="false" ht="15" hidden="false" customHeight="true" outlineLevel="0" collapsed="false">
      <c r="A4" s="4"/>
      <c r="B4" s="4"/>
      <c r="C4" s="4"/>
      <c r="D4" s="4"/>
      <c r="E4" s="4"/>
      <c r="F4" s="4"/>
      <c r="G4" s="4"/>
      <c r="H4" s="4"/>
    </row>
    <row r="5" customFormat="false" ht="15" hidden="false" customHeight="true" outlineLevel="0" collapsed="false">
      <c r="A5" s="6" t="s">
        <v>150</v>
      </c>
      <c r="B5" s="6" t="s">
        <v>227</v>
      </c>
      <c r="C5" s="6" t="s">
        <v>228</v>
      </c>
      <c r="D5" s="6" t="s">
        <v>199</v>
      </c>
      <c r="E5" s="4"/>
      <c r="F5" s="4"/>
      <c r="G5" s="4"/>
      <c r="H5" s="4"/>
    </row>
    <row r="6" customFormat="false" ht="30" hidden="false" customHeight="true" outlineLevel="0" collapsed="false">
      <c r="A6" s="4" t="s">
        <v>229</v>
      </c>
      <c r="B6" s="4" t="s">
        <v>230</v>
      </c>
      <c r="C6" s="4"/>
      <c r="D6" s="4" t="s">
        <v>231</v>
      </c>
      <c r="E6" s="4"/>
      <c r="F6" s="4"/>
      <c r="G6" s="4"/>
      <c r="H6" s="4"/>
    </row>
    <row r="7" customFormat="false" ht="30" hidden="false" customHeight="true" outlineLevel="0" collapsed="false">
      <c r="A7" s="4" t="s">
        <v>232</v>
      </c>
      <c r="B7" s="4" t="s">
        <v>233</v>
      </c>
      <c r="C7" s="4"/>
      <c r="D7" s="4" t="s">
        <v>234</v>
      </c>
      <c r="E7" s="4"/>
      <c r="F7" s="4"/>
      <c r="G7" s="4"/>
      <c r="H7" s="4"/>
    </row>
    <row r="8" customFormat="false" ht="15" hidden="false" customHeight="true" outlineLevel="0" collapsed="false">
      <c r="A8" s="4" t="s">
        <v>235</v>
      </c>
      <c r="B8" s="4" t="s">
        <v>236</v>
      </c>
      <c r="C8" s="4"/>
      <c r="D8" s="4" t="s">
        <v>237</v>
      </c>
      <c r="E8" s="4"/>
      <c r="F8" s="4"/>
      <c r="G8" s="4"/>
      <c r="H8" s="4"/>
    </row>
    <row r="9" customFormat="false" ht="30" hidden="false" customHeight="true" outlineLevel="0" collapsed="false">
      <c r="A9" s="4" t="s">
        <v>238</v>
      </c>
      <c r="B9" s="4" t="s">
        <v>239</v>
      </c>
      <c r="C9" s="4"/>
      <c r="D9" s="4" t="s">
        <v>240</v>
      </c>
      <c r="E9" s="4"/>
      <c r="F9" s="4"/>
      <c r="G9" s="4"/>
      <c r="H9" s="4"/>
    </row>
    <row r="10" customFormat="false" ht="30" hidden="false" customHeight="true" outlineLevel="0" collapsed="false">
      <c r="A10" s="4" t="s">
        <v>241</v>
      </c>
      <c r="B10" s="4" t="s">
        <v>242</v>
      </c>
      <c r="C10" s="4"/>
      <c r="D10" s="4" t="s">
        <v>243</v>
      </c>
      <c r="E10" s="4"/>
      <c r="F10" s="4"/>
      <c r="G10" s="4"/>
      <c r="H10" s="4"/>
    </row>
    <row r="11" customFormat="false" ht="30" hidden="false" customHeight="true" outlineLevel="0" collapsed="false">
      <c r="A11" s="4" t="s">
        <v>244</v>
      </c>
      <c r="B11" s="4" t="s">
        <v>245</v>
      </c>
      <c r="C11" s="4"/>
      <c r="D11" s="4" t="s">
        <v>246</v>
      </c>
      <c r="E11" s="4"/>
      <c r="F11" s="4"/>
      <c r="G11" s="4"/>
      <c r="H11" s="4"/>
    </row>
    <row r="12" customFormat="false" ht="30" hidden="false" customHeight="true" outlineLevel="0" collapsed="false">
      <c r="A12" s="4" t="s">
        <v>247</v>
      </c>
      <c r="B12" s="4" t="s">
        <v>248</v>
      </c>
      <c r="C12" s="4" t="e">
        <f aca="false">driver_missed_intervals/total_missed_intervals</f>
        <v>#NAME?</v>
      </c>
      <c r="D12" s="4" t="s">
        <v>249</v>
      </c>
      <c r="E12" s="4"/>
      <c r="F12" s="4"/>
      <c r="G12" s="4"/>
      <c r="H12" s="4"/>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45"/>
    <col collapsed="false" customWidth="true" hidden="false" outlineLevel="0" max="8" min="3" style="1" width="10"/>
  </cols>
  <sheetData>
    <row r="1" customFormat="false" ht="24" hidden="false" customHeight="true" outlineLevel="0" collapsed="false">
      <c r="A1" s="2" t="s">
        <v>250</v>
      </c>
      <c r="B1" s="2"/>
      <c r="C1" s="2"/>
      <c r="D1" s="2"/>
      <c r="E1" s="2"/>
      <c r="F1" s="2"/>
      <c r="G1" s="2"/>
      <c r="H1" s="2"/>
    </row>
    <row r="2" customFormat="false" ht="34.5" hidden="false" customHeight="true" outlineLevel="0" collapsed="false">
      <c r="A2" s="3" t="s">
        <v>251</v>
      </c>
      <c r="B2" s="3"/>
      <c r="C2" s="3"/>
      <c r="D2" s="3"/>
      <c r="E2" s="3"/>
      <c r="F2" s="3"/>
      <c r="G2" s="3"/>
      <c r="H2" s="3"/>
    </row>
    <row r="3" customFormat="false" ht="15" hidden="false" customHeight="true" outlineLevel="0" collapsed="false">
      <c r="A3" s="4"/>
      <c r="B3" s="4"/>
      <c r="C3" s="4"/>
      <c r="D3" s="4"/>
      <c r="E3" s="4"/>
      <c r="F3" s="4"/>
      <c r="G3" s="4"/>
      <c r="H3" s="4"/>
    </row>
    <row r="4" customFormat="false" ht="15" hidden="false" customHeight="true" outlineLevel="0" collapsed="false">
      <c r="A4" s="5" t="s">
        <v>252</v>
      </c>
      <c r="B4" s="5" t="s">
        <v>253</v>
      </c>
      <c r="C4" s="5"/>
      <c r="D4" s="5"/>
      <c r="E4" s="5"/>
      <c r="F4" s="5"/>
      <c r="G4" s="5"/>
      <c r="H4" s="5"/>
    </row>
    <row r="5" customFormat="false" ht="105" hidden="false" customHeight="true" outlineLevel="0" collapsed="false">
      <c r="A5" s="4" t="s">
        <v>254</v>
      </c>
      <c r="B5" s="4" t="s">
        <v>255</v>
      </c>
      <c r="C5" s="4"/>
      <c r="D5" s="4"/>
      <c r="E5" s="4"/>
      <c r="F5" s="4"/>
      <c r="G5" s="4"/>
      <c r="H5" s="4"/>
    </row>
    <row r="6" customFormat="false" ht="45" hidden="false" customHeight="true" outlineLevel="0" collapsed="false">
      <c r="A6" s="4" t="s">
        <v>256</v>
      </c>
      <c r="B6" s="4" t="s">
        <v>257</v>
      </c>
      <c r="C6" s="4"/>
      <c r="D6" s="4"/>
      <c r="E6" s="4"/>
      <c r="F6" s="4"/>
      <c r="G6" s="4"/>
      <c r="H6" s="4"/>
    </row>
    <row r="7" customFormat="false" ht="60" hidden="false" customHeight="true" outlineLevel="0" collapsed="false">
      <c r="A7" s="4" t="s">
        <v>258</v>
      </c>
      <c r="B7" s="4" t="s">
        <v>259</v>
      </c>
      <c r="C7" s="4"/>
      <c r="D7" s="4"/>
      <c r="E7" s="4"/>
      <c r="F7" s="4"/>
      <c r="G7" s="4"/>
      <c r="H7" s="4"/>
    </row>
    <row r="8" customFormat="false" ht="45" hidden="false" customHeight="true" outlineLevel="0" collapsed="false">
      <c r="A8" s="4" t="s">
        <v>260</v>
      </c>
      <c r="B8" s="4" t="s">
        <v>261</v>
      </c>
      <c r="C8" s="4"/>
      <c r="D8" s="4"/>
      <c r="E8" s="4"/>
      <c r="F8" s="4"/>
      <c r="G8" s="4"/>
      <c r="H8" s="4"/>
    </row>
    <row r="9" customFormat="false" ht="60" hidden="false" customHeight="true" outlineLevel="0" collapsed="false">
      <c r="A9" s="4" t="s">
        <v>262</v>
      </c>
      <c r="B9" s="4" t="s">
        <v>263</v>
      </c>
      <c r="C9" s="4"/>
      <c r="D9" s="4"/>
      <c r="E9" s="4"/>
      <c r="F9" s="4"/>
      <c r="G9" s="4"/>
      <c r="H9" s="4"/>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45"/>
    <col collapsed="false" customWidth="true" hidden="false" outlineLevel="0" max="8" min="4" style="1" width="10"/>
  </cols>
  <sheetData>
    <row r="1" customFormat="false" ht="24" hidden="false" customHeight="true" outlineLevel="0" collapsed="false">
      <c r="A1" s="2" t="s">
        <v>264</v>
      </c>
      <c r="B1" s="2"/>
      <c r="C1" s="2"/>
      <c r="D1" s="2"/>
      <c r="E1" s="2"/>
      <c r="F1" s="2"/>
      <c r="G1" s="2"/>
      <c r="H1" s="2"/>
    </row>
    <row r="2" customFormat="false" ht="34.5" hidden="false" customHeight="true" outlineLevel="0" collapsed="false">
      <c r="A2" s="3" t="s">
        <v>265</v>
      </c>
      <c r="B2" s="3"/>
      <c r="C2" s="3"/>
      <c r="D2" s="3"/>
      <c r="E2" s="3"/>
      <c r="F2" s="3"/>
      <c r="G2" s="3"/>
      <c r="H2" s="3"/>
    </row>
    <row r="3" customFormat="false" ht="15" hidden="false" customHeight="true" outlineLevel="0" collapsed="false">
      <c r="A3" s="5"/>
      <c r="B3" s="5"/>
      <c r="C3" s="5"/>
      <c r="D3" s="5"/>
      <c r="E3" s="5"/>
      <c r="F3" s="5"/>
      <c r="G3" s="5"/>
      <c r="H3" s="5"/>
    </row>
    <row r="4" customFormat="false" ht="15" hidden="false" customHeight="true" outlineLevel="0" collapsed="false">
      <c r="A4" s="4"/>
      <c r="B4" s="4"/>
      <c r="C4" s="4"/>
      <c r="D4" s="4"/>
      <c r="E4" s="4"/>
      <c r="F4" s="4"/>
      <c r="G4" s="4"/>
      <c r="H4" s="4"/>
    </row>
    <row r="5" customFormat="false" ht="15" hidden="false" customHeight="true" outlineLevel="0" collapsed="false">
      <c r="A5" s="6" t="s">
        <v>266</v>
      </c>
      <c r="B5" s="6" t="s">
        <v>267</v>
      </c>
      <c r="C5" s="6" t="s">
        <v>268</v>
      </c>
      <c r="D5" s="4"/>
      <c r="E5" s="4"/>
      <c r="F5" s="4"/>
      <c r="G5" s="4"/>
      <c r="H5" s="4"/>
    </row>
    <row r="6" customFormat="false" ht="30" hidden="false" customHeight="true" outlineLevel="0" collapsed="false">
      <c r="A6" s="4" t="s">
        <v>269</v>
      </c>
      <c r="B6" s="4" t="s">
        <v>270</v>
      </c>
      <c r="C6" s="4" t="s">
        <v>271</v>
      </c>
      <c r="D6" s="4"/>
      <c r="E6" s="4"/>
      <c r="F6" s="4"/>
      <c r="G6" s="4"/>
      <c r="H6" s="4"/>
    </row>
    <row r="7" customFormat="false" ht="60" hidden="false" customHeight="true" outlineLevel="0" collapsed="false">
      <c r="A7" s="4" t="s">
        <v>269</v>
      </c>
      <c r="B7" s="4" t="s">
        <v>272</v>
      </c>
      <c r="C7" s="4" t="s">
        <v>273</v>
      </c>
      <c r="D7" s="4"/>
      <c r="E7" s="4"/>
      <c r="F7" s="4"/>
      <c r="G7" s="4"/>
      <c r="H7" s="4"/>
    </row>
    <row r="8" customFormat="false" ht="45" hidden="false" customHeight="true" outlineLevel="0" collapsed="false">
      <c r="A8" s="4" t="s">
        <v>274</v>
      </c>
      <c r="B8" s="4" t="s">
        <v>275</v>
      </c>
      <c r="C8" s="4" t="s">
        <v>276</v>
      </c>
      <c r="D8" s="4"/>
      <c r="E8" s="4"/>
      <c r="F8" s="4"/>
      <c r="G8" s="4"/>
      <c r="H8" s="4"/>
    </row>
    <row r="9" customFormat="false" ht="30" hidden="false" customHeight="true" outlineLevel="0" collapsed="false">
      <c r="A9" s="4" t="s">
        <v>277</v>
      </c>
      <c r="B9" s="4" t="s">
        <v>278</v>
      </c>
      <c r="C9" s="4" t="s">
        <v>279</v>
      </c>
      <c r="D9" s="4"/>
      <c r="E9" s="4"/>
      <c r="F9" s="4"/>
      <c r="G9" s="4"/>
      <c r="H9" s="4"/>
    </row>
    <row r="10" customFormat="false" ht="45" hidden="false" customHeight="true" outlineLevel="0" collapsed="false">
      <c r="A10" s="4" t="s">
        <v>274</v>
      </c>
      <c r="B10" s="4" t="s">
        <v>280</v>
      </c>
      <c r="C10" s="4" t="s">
        <v>281</v>
      </c>
      <c r="D10" s="4"/>
      <c r="E10" s="4"/>
      <c r="F10" s="4"/>
      <c r="G10" s="4"/>
      <c r="H10" s="4"/>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2026-07-14T22:04:21Z</dcterms:created>
  <dc:creator>Lou Dowdy</dc:creator>
  <dc:description/>
  <cp:keywords>HCLClassification=Confidential</cp:keywords>
  <dc:language>en-US</dc:language>
  <cp:lastModifiedBy/>
  <dcterms:modified xsi:type="dcterms:W3CDTF">2026-08-13T19:06:16Z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CLClassD6">
    <vt:lpwstr>False</vt:lpwstr>
  </property>
  <property fmtid="{D5CDD505-2E9C-101B-9397-08002B2CF9AE}" pid="3" name="HCLClassification">
    <vt:lpwstr>HCL_Cla5s_C0nf1dent1al</vt:lpwstr>
  </property>
  <property fmtid="{D5CDD505-2E9C-101B-9397-08002B2CF9AE}" pid="4" name="TitusGUID">
    <vt:lpwstr>d5cda74c-3972-4c15-b928-ef3e5f0c51a0</vt:lpwstr>
  </property>
</Properties>
</file>